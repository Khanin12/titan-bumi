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ASUS\Documents\SSS\"/>
    </mc:Choice>
  </mc:AlternateContent>
  <xr:revisionPtr revIDLastSave="0" documentId="13_ncr:1_{218AE263-3FAD-4A39-9B27-129833F420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  <sheet name="Lembar1" sheetId="4" r:id="rId4"/>
    <sheet name="Lembar2" sheetId="5" r:id="rId5"/>
    <sheet name="Lembar3" sheetId="6" r:id="rId6"/>
  </sheets>
  <definedNames>
    <definedName name="_xlnm._FilterDatabase" localSheetId="0" hidden="1">Sheet1!$A$2:$H$48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6" l="1"/>
  <c r="G189" i="5"/>
  <c r="G166" i="5"/>
  <c r="C164" i="5"/>
  <c r="G143" i="5"/>
  <c r="C143" i="5"/>
  <c r="G121" i="5"/>
  <c r="C121" i="5"/>
  <c r="C112" i="5"/>
  <c r="B104" i="5"/>
  <c r="G101" i="5"/>
  <c r="B96" i="5"/>
  <c r="B95" i="5"/>
  <c r="B94" i="5"/>
  <c r="B93" i="5"/>
  <c r="B92" i="5"/>
  <c r="B91" i="5"/>
  <c r="B90" i="5"/>
  <c r="B89" i="5"/>
  <c r="D71" i="5"/>
  <c r="D69" i="5"/>
  <c r="C69" i="5"/>
  <c r="H63" i="5"/>
  <c r="H62" i="5"/>
  <c r="G62" i="5"/>
  <c r="D60" i="5"/>
  <c r="C60" i="5"/>
  <c r="D51" i="5"/>
  <c r="C51" i="5"/>
  <c r="O49" i="5"/>
  <c r="H47" i="5"/>
  <c r="I43" i="5"/>
  <c r="C42" i="5"/>
  <c r="B42" i="5"/>
  <c r="C41" i="5"/>
  <c r="F40" i="5"/>
  <c r="C40" i="5"/>
  <c r="C39" i="5"/>
  <c r="F38" i="5"/>
  <c r="C38" i="5"/>
  <c r="C37" i="5"/>
  <c r="F36" i="5"/>
  <c r="C36" i="5"/>
  <c r="C35" i="5"/>
  <c r="F34" i="5"/>
  <c r="C34" i="5"/>
  <c r="C33" i="5"/>
  <c r="C32" i="5"/>
  <c r="F31" i="5"/>
  <c r="C31" i="5"/>
  <c r="F30" i="5"/>
  <c r="C30" i="5"/>
  <c r="O29" i="5"/>
  <c r="F29" i="5"/>
  <c r="C29" i="5"/>
  <c r="F28" i="5"/>
  <c r="C28" i="5"/>
  <c r="F27" i="5"/>
  <c r="C27" i="5"/>
  <c r="F26" i="5"/>
  <c r="I23" i="5"/>
  <c r="H23" i="5"/>
  <c r="G23" i="5"/>
  <c r="F23" i="5"/>
  <c r="E23" i="5"/>
  <c r="D23" i="5"/>
  <c r="C23" i="5"/>
  <c r="B23" i="5"/>
  <c r="I22" i="5"/>
  <c r="H22" i="5"/>
  <c r="D22" i="5"/>
  <c r="I21" i="5"/>
  <c r="H21" i="5"/>
  <c r="D21" i="5"/>
  <c r="I20" i="5"/>
  <c r="H20" i="5"/>
  <c r="D20" i="5"/>
  <c r="I19" i="5"/>
  <c r="H19" i="5"/>
  <c r="D19" i="5"/>
  <c r="I18" i="5"/>
  <c r="H18" i="5"/>
  <c r="D18" i="5"/>
  <c r="I17" i="5"/>
  <c r="H17" i="5"/>
  <c r="D17" i="5"/>
  <c r="I16" i="5"/>
  <c r="H16" i="5"/>
  <c r="D16" i="5"/>
  <c r="H15" i="5"/>
  <c r="D15" i="5"/>
  <c r="N14" i="5"/>
  <c r="H14" i="5"/>
  <c r="D14" i="5"/>
  <c r="N13" i="5"/>
  <c r="H13" i="5"/>
  <c r="D13" i="5"/>
  <c r="Y12" i="5"/>
  <c r="N12" i="5"/>
  <c r="H12" i="5"/>
  <c r="D12" i="5"/>
  <c r="H11" i="5"/>
  <c r="D11" i="5"/>
  <c r="N10" i="5"/>
  <c r="M10" i="5"/>
  <c r="H10" i="5"/>
  <c r="D10" i="5"/>
  <c r="H9" i="5"/>
  <c r="D9" i="5"/>
  <c r="I8" i="5"/>
  <c r="H8" i="5"/>
  <c r="D8" i="5"/>
  <c r="I7" i="5"/>
  <c r="H7" i="5"/>
  <c r="D7" i="5"/>
  <c r="H6" i="5"/>
  <c r="D6" i="5"/>
  <c r="I5" i="5"/>
  <c r="H5" i="5"/>
  <c r="D5" i="5"/>
  <c r="I4" i="5"/>
  <c r="H4" i="5"/>
  <c r="D4" i="5"/>
  <c r="I3" i="5"/>
  <c r="H3" i="5"/>
  <c r="D3" i="5"/>
  <c r="F89" i="4"/>
  <c r="F70" i="4"/>
  <c r="F52" i="4"/>
  <c r="F37" i="4"/>
  <c r="C124" i="3"/>
  <c r="B106" i="3"/>
  <c r="B97" i="3"/>
  <c r="B96" i="3"/>
  <c r="B95" i="3"/>
  <c r="B94" i="3"/>
  <c r="B93" i="3"/>
  <c r="B92" i="3"/>
  <c r="B91" i="3"/>
  <c r="H85" i="3"/>
  <c r="D85" i="3"/>
  <c r="G84" i="3"/>
  <c r="D84" i="3"/>
  <c r="C84" i="3"/>
  <c r="D78" i="3"/>
  <c r="C78" i="3"/>
  <c r="D75" i="3"/>
  <c r="H74" i="3"/>
  <c r="D74" i="3"/>
  <c r="C74" i="3"/>
  <c r="D68" i="3"/>
  <c r="C68" i="3"/>
  <c r="H61" i="3"/>
  <c r="G61" i="3"/>
  <c r="H56" i="3"/>
  <c r="G56" i="3"/>
  <c r="D56" i="3"/>
  <c r="C56" i="3"/>
  <c r="H52" i="3"/>
  <c r="C43" i="3"/>
  <c r="B43" i="3"/>
  <c r="C42" i="3"/>
  <c r="F41" i="3"/>
  <c r="C41" i="3"/>
  <c r="C40" i="3"/>
  <c r="F39" i="3"/>
  <c r="C39" i="3"/>
  <c r="C38" i="3"/>
  <c r="F37" i="3"/>
  <c r="C37" i="3"/>
  <c r="C36" i="3"/>
  <c r="F35" i="3"/>
  <c r="C35" i="3"/>
  <c r="C34" i="3"/>
  <c r="C33" i="3"/>
  <c r="C32" i="3"/>
  <c r="F31" i="3"/>
  <c r="C31" i="3"/>
  <c r="C30" i="3"/>
  <c r="F29" i="3"/>
  <c r="C29" i="3"/>
  <c r="F28" i="3"/>
  <c r="C28" i="3"/>
  <c r="F27" i="3"/>
  <c r="E24" i="3"/>
  <c r="D24" i="3"/>
  <c r="C24" i="3"/>
  <c r="B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C173" i="2"/>
  <c r="G154" i="2"/>
  <c r="C151" i="2"/>
  <c r="G134" i="2"/>
  <c r="C132" i="2"/>
  <c r="G111" i="2"/>
  <c r="C111" i="2"/>
  <c r="B94" i="2"/>
  <c r="G90" i="2"/>
  <c r="B86" i="2"/>
  <c r="B85" i="2"/>
  <c r="B84" i="2"/>
  <c r="B83" i="2"/>
  <c r="B82" i="2"/>
  <c r="B81" i="2"/>
  <c r="B80" i="2"/>
  <c r="B79" i="2"/>
  <c r="H72" i="2"/>
  <c r="D72" i="2"/>
  <c r="H70" i="2"/>
  <c r="G70" i="2"/>
  <c r="D70" i="2"/>
  <c r="C70" i="2"/>
  <c r="D62" i="2"/>
  <c r="H61" i="2"/>
  <c r="G61" i="2"/>
  <c r="D61" i="2"/>
  <c r="C61" i="2"/>
  <c r="C57" i="2"/>
  <c r="H52" i="2"/>
  <c r="G52" i="2"/>
  <c r="D52" i="2"/>
  <c r="C52" i="2"/>
  <c r="H48" i="2"/>
  <c r="C43" i="2"/>
  <c r="B43" i="2"/>
  <c r="C42" i="2"/>
  <c r="F41" i="2"/>
  <c r="C41" i="2"/>
  <c r="C40" i="2"/>
  <c r="F39" i="2"/>
  <c r="C39" i="2"/>
  <c r="C38" i="2"/>
  <c r="F37" i="2"/>
  <c r="C37" i="2"/>
  <c r="C36" i="2"/>
  <c r="F35" i="2"/>
  <c r="C35" i="2"/>
  <c r="C34" i="2"/>
  <c r="C33" i="2"/>
  <c r="F32" i="2"/>
  <c r="C32" i="2"/>
  <c r="F31" i="2"/>
  <c r="C31" i="2"/>
  <c r="F30" i="2"/>
  <c r="C30" i="2"/>
  <c r="F29" i="2"/>
  <c r="C29" i="2"/>
  <c r="F28" i="2"/>
  <c r="C28" i="2"/>
  <c r="F27" i="2"/>
  <c r="H24" i="2"/>
  <c r="G24" i="2"/>
  <c r="F24" i="2"/>
  <c r="E24" i="2"/>
  <c r="D24" i="2"/>
  <c r="C24" i="2"/>
  <c r="B24" i="2"/>
  <c r="H23" i="2"/>
  <c r="D23" i="2"/>
  <c r="H22" i="2"/>
  <c r="D22" i="2"/>
  <c r="H21" i="2"/>
  <c r="D21" i="2"/>
  <c r="H20" i="2"/>
  <c r="D20" i="2"/>
  <c r="H19" i="2"/>
  <c r="D19" i="2"/>
  <c r="H18" i="2"/>
  <c r="D18" i="2"/>
  <c r="H17" i="2"/>
  <c r="D17" i="2"/>
  <c r="V16" i="2"/>
  <c r="H16" i="2"/>
  <c r="D16" i="2"/>
  <c r="L15" i="2"/>
  <c r="H15" i="2"/>
  <c r="D15" i="2"/>
  <c r="H14" i="2"/>
  <c r="D14" i="2"/>
  <c r="H13" i="2"/>
  <c r="D13" i="2"/>
  <c r="H12" i="2"/>
  <c r="D12" i="2"/>
  <c r="H11" i="2"/>
  <c r="D11" i="2"/>
  <c r="H10" i="2"/>
  <c r="D10" i="2"/>
  <c r="H9" i="2"/>
  <c r="D9" i="2"/>
  <c r="H8" i="2"/>
  <c r="D8" i="2"/>
  <c r="H7" i="2"/>
  <c r="D7" i="2"/>
  <c r="H6" i="2"/>
  <c r="D6" i="2"/>
  <c r="H5" i="2"/>
  <c r="D5" i="2"/>
  <c r="H4" i="2"/>
  <c r="D4" i="2"/>
  <c r="H3" i="2"/>
  <c r="D3" i="2"/>
  <c r="C249" i="1"/>
  <c r="C227" i="1"/>
  <c r="C209" i="1"/>
  <c r="C189" i="1"/>
  <c r="C169" i="1"/>
  <c r="C146" i="1"/>
  <c r="C122" i="1"/>
  <c r="B105" i="1"/>
  <c r="B96" i="1"/>
  <c r="B95" i="1"/>
  <c r="B94" i="1"/>
  <c r="B93" i="1"/>
  <c r="B92" i="1"/>
  <c r="B91" i="1"/>
  <c r="B90" i="1"/>
  <c r="H84" i="1"/>
  <c r="D84" i="1"/>
  <c r="G83" i="1"/>
  <c r="D83" i="1"/>
  <c r="C83" i="1"/>
  <c r="D77" i="1"/>
  <c r="C77" i="1"/>
  <c r="D74" i="1"/>
  <c r="H73" i="1"/>
  <c r="D73" i="1"/>
  <c r="C73" i="1"/>
  <c r="D67" i="1"/>
  <c r="C67" i="1"/>
  <c r="H60" i="1"/>
  <c r="G60" i="1"/>
  <c r="H55" i="1"/>
  <c r="G55" i="1"/>
  <c r="D55" i="1"/>
  <c r="C55" i="1"/>
  <c r="H51" i="1"/>
  <c r="C43" i="1"/>
  <c r="B43" i="1"/>
  <c r="C42" i="1"/>
  <c r="F41" i="1"/>
  <c r="C41" i="1"/>
  <c r="C40" i="1"/>
  <c r="F39" i="1"/>
  <c r="C39" i="1"/>
  <c r="C38" i="1"/>
  <c r="F37" i="1"/>
  <c r="C37" i="1"/>
  <c r="C36" i="1"/>
  <c r="F35" i="1"/>
  <c r="C35" i="1"/>
  <c r="C34" i="1"/>
  <c r="C33" i="1"/>
  <c r="C32" i="1"/>
  <c r="F31" i="1"/>
  <c r="C31" i="1"/>
  <c r="C30" i="1"/>
  <c r="F29" i="1"/>
  <c r="C29" i="1"/>
  <c r="F28" i="1"/>
  <c r="C28" i="1"/>
  <c r="F27" i="1"/>
  <c r="E24" i="1"/>
  <c r="D24" i="1"/>
  <c r="C24" i="1"/>
  <c r="B24" i="1"/>
  <c r="D23" i="1"/>
  <c r="D22" i="1"/>
  <c r="D21" i="1"/>
  <c r="D20" i="1"/>
  <c r="D19" i="1"/>
  <c r="D18" i="1"/>
  <c r="D17" i="1"/>
  <c r="D16" i="1"/>
  <c r="D15" i="1"/>
  <c r="I14" i="1"/>
  <c r="D14" i="1"/>
  <c r="D13" i="1"/>
  <c r="D12" i="1"/>
  <c r="D11" i="1"/>
  <c r="D10" i="1"/>
  <c r="D9" i="1"/>
  <c r="D8" i="1"/>
  <c r="D7" i="1"/>
  <c r="R6" i="1"/>
  <c r="D6" i="1"/>
  <c r="R5" i="1"/>
  <c r="D5" i="1"/>
  <c r="D4" i="1"/>
  <c r="R3" i="1"/>
  <c r="D3" i="1"/>
</calcChain>
</file>

<file path=xl/sharedStrings.xml><?xml version="1.0" encoding="utf-8"?>
<sst xmlns="http://schemas.openxmlformats.org/spreadsheetml/2006/main" count="1441" uniqueCount="655">
  <si>
    <t>Alat Exsafator</t>
  </si>
  <si>
    <t>Retase</t>
  </si>
  <si>
    <t>modal dan Tagihan</t>
  </si>
  <si>
    <t>Pembayaran Royalty dan Solar Tanggal 14 Februari 2026 (Malam)</t>
  </si>
  <si>
    <t>Tgl</t>
  </si>
  <si>
    <t>pasir</t>
  </si>
  <si>
    <t>grosok</t>
  </si>
  <si>
    <t>nominal</t>
  </si>
  <si>
    <t>lahan/Op</t>
  </si>
  <si>
    <t>Tanggal</t>
  </si>
  <si>
    <t>ket</t>
  </si>
  <si>
    <t>Nominal</t>
  </si>
  <si>
    <t>Jenis</t>
  </si>
  <si>
    <t>P</t>
  </si>
  <si>
    <t>pL</t>
  </si>
  <si>
    <t>G</t>
  </si>
  <si>
    <t>GL</t>
  </si>
  <si>
    <t>8 Februari</t>
  </si>
  <si>
    <t>Royalty Kantor</t>
  </si>
  <si>
    <t>Malam</t>
  </si>
  <si>
    <t>10 februari</t>
  </si>
  <si>
    <t>kes doko</t>
  </si>
  <si>
    <t>Jum. Liter</t>
  </si>
  <si>
    <t>9 Februari</t>
  </si>
  <si>
    <t>11 Februaru</t>
  </si>
  <si>
    <t>Tf dari pak edi</t>
  </si>
  <si>
    <t xml:space="preserve">Solr </t>
  </si>
  <si>
    <t>12 Februari</t>
  </si>
  <si>
    <t>pak edi TF masuk</t>
  </si>
  <si>
    <t>Total</t>
  </si>
  <si>
    <t>10 FebruAri</t>
  </si>
  <si>
    <t>14 Februari</t>
  </si>
  <si>
    <t>Tf pak edi</t>
  </si>
  <si>
    <t>malam</t>
  </si>
  <si>
    <t>15 Februari</t>
  </si>
  <si>
    <t>Tf mas Fuad(Irfa'i)</t>
  </si>
  <si>
    <t>11 Februari</t>
  </si>
  <si>
    <t>√</t>
  </si>
  <si>
    <t>12 februari</t>
  </si>
  <si>
    <t>13 Februari</t>
  </si>
  <si>
    <t>Tek Watu</t>
  </si>
  <si>
    <t>Alat Hitachi</t>
  </si>
  <si>
    <t>Lahan/Op</t>
  </si>
  <si>
    <t>Jasa Alat</t>
  </si>
  <si>
    <t>Tagihan Material</t>
  </si>
  <si>
    <t>sisa uang minggu kem</t>
  </si>
  <si>
    <t>Tek watu</t>
  </si>
  <si>
    <t>Jasa</t>
  </si>
  <si>
    <t>Jasa alat</t>
  </si>
  <si>
    <t>Pengeluaran</t>
  </si>
  <si>
    <t>ToTal</t>
  </si>
  <si>
    <t>jasa alat</t>
  </si>
  <si>
    <t xml:space="preserve">Pengeluaran </t>
  </si>
  <si>
    <t>Armada</t>
  </si>
  <si>
    <t>Sisa Uang keseluruhan</t>
  </si>
  <si>
    <t>pengeluaran Tambang</t>
  </si>
  <si>
    <t>item</t>
  </si>
  <si>
    <t>harga</t>
  </si>
  <si>
    <t>pak edi tf keluar</t>
  </si>
  <si>
    <t>total sementara</t>
  </si>
  <si>
    <t>bensin ke doko</t>
  </si>
  <si>
    <t>admin malam</t>
  </si>
  <si>
    <t>atmin Tf dan BRI link</t>
  </si>
  <si>
    <t>solar hitachi abadi 48L*8000</t>
  </si>
  <si>
    <t>Admin siang</t>
  </si>
  <si>
    <t>Gaji karyawan patok</t>
  </si>
  <si>
    <t>Pak Rohmat 2*20</t>
  </si>
  <si>
    <t>pak karno kasbon</t>
  </si>
  <si>
    <t>seling dan klaim</t>
  </si>
  <si>
    <t>soalr abadi 48 L hitachi</t>
  </si>
  <si>
    <t>iyon 5*40</t>
  </si>
  <si>
    <t>admin Tf</t>
  </si>
  <si>
    <t xml:space="preserve">.. </t>
  </si>
  <si>
    <t>byar p yanto, Cat intercool</t>
  </si>
  <si>
    <t>pak jarno kasbon</t>
  </si>
  <si>
    <t>Admin malam</t>
  </si>
  <si>
    <t>Solar Abadi Hitachi 48 L</t>
  </si>
  <si>
    <t>10 Februari</t>
  </si>
  <si>
    <t>Bensin Doko( dr pak Edi)</t>
  </si>
  <si>
    <t xml:space="preserve"> admin siang dn mlm 2*50</t>
  </si>
  <si>
    <t>Rohmad 1</t>
  </si>
  <si>
    <t>solar abadi 48 L*8</t>
  </si>
  <si>
    <t>solar aziz stokpel</t>
  </si>
  <si>
    <t>Abadi solar hit dan leo</t>
  </si>
  <si>
    <t>48*2*8000</t>
  </si>
  <si>
    <t>baut kuku Caterpilar</t>
  </si>
  <si>
    <t>admin siang</t>
  </si>
  <si>
    <t>pak Rohmat 2*20</t>
  </si>
  <si>
    <t>yon 5*40</t>
  </si>
  <si>
    <t>Armada dan Stokpel</t>
  </si>
  <si>
    <t>Tital pengeluaran</t>
  </si>
  <si>
    <t>Keterangan</t>
  </si>
  <si>
    <t>Terlampir</t>
  </si>
  <si>
    <t>Retase Material Stokpel dan pengeluaran Tgl 8 Februari 26</t>
  </si>
  <si>
    <t>sopir</t>
  </si>
  <si>
    <t>Uraian</t>
  </si>
  <si>
    <t>ongks</t>
  </si>
  <si>
    <t>paser SR 4*200</t>
  </si>
  <si>
    <t>batu Belah SR 4*200</t>
  </si>
  <si>
    <t>Belnj batu belah 4*700</t>
  </si>
  <si>
    <t>cahyo (pagi)</t>
  </si>
  <si>
    <t>Grsok Stp 1*120</t>
  </si>
  <si>
    <t>Grosok 5*120</t>
  </si>
  <si>
    <t>Paser 4*120</t>
  </si>
  <si>
    <t xml:space="preserve">Siang </t>
  </si>
  <si>
    <t>Paser SR.          :4 Rit</t>
  </si>
  <si>
    <t>Batu Belah.        : 4 Rit</t>
  </si>
  <si>
    <t>Grosok STp.     :1 Rit</t>
  </si>
  <si>
    <t>paser Stp.          :4 Rit</t>
  </si>
  <si>
    <t>Grosok STp.       :5 Rit</t>
  </si>
  <si>
    <t>ndruwo sirtu.     :3 Rit</t>
  </si>
  <si>
    <t>Retase Material Stokpel dan pengeluaran Tgl 9 Februari 26</t>
  </si>
  <si>
    <t>Rembo 2,Abadi</t>
  </si>
  <si>
    <t>batu belah SR 3*900</t>
  </si>
  <si>
    <t>Udin</t>
  </si>
  <si>
    <t>batu belah Stokpel 1*110</t>
  </si>
  <si>
    <t>Abadi</t>
  </si>
  <si>
    <t>Batu split 1*110</t>
  </si>
  <si>
    <t>Udin pangkon mesin</t>
  </si>
  <si>
    <t>belanja pangkon mesin</t>
  </si>
  <si>
    <t>Abadi, Udin</t>
  </si>
  <si>
    <t>Grosok stp 3*120</t>
  </si>
  <si>
    <t>yoga</t>
  </si>
  <si>
    <t>paser SR</t>
  </si>
  <si>
    <t>Tino, cahyo, Yoga</t>
  </si>
  <si>
    <t>psser Stp 4*120 (siang)</t>
  </si>
  <si>
    <t>titip cuci paser 5*130(mlm)</t>
  </si>
  <si>
    <t>paser stp dicuci 5*120</t>
  </si>
  <si>
    <t>Grosok stokpel malam 4*120</t>
  </si>
  <si>
    <t>Siang</t>
  </si>
  <si>
    <t>Batu gebal SR.           :4Rit</t>
  </si>
  <si>
    <t>Batu split SR.              : 1 Rit</t>
  </si>
  <si>
    <t>Paser Irfa'i.                 :16 Rit</t>
  </si>
  <si>
    <t>sirtu Irfa'i.              :22 Rit</t>
  </si>
  <si>
    <t>ndruwo sirtu.         :5 Rit</t>
  </si>
  <si>
    <t>paser cuci stp.       5 Rit</t>
  </si>
  <si>
    <t>paser stp.                 :4 Rit</t>
  </si>
  <si>
    <t>grosok Stp.               :7 Rit</t>
  </si>
  <si>
    <t>Retase Material Stokpel dan pengeluaran Tgl 10 Februari 26</t>
  </si>
  <si>
    <t>Tino, Abadi, Rembo2</t>
  </si>
  <si>
    <t>batu belah SR 4*900</t>
  </si>
  <si>
    <t>paser SR 8*200</t>
  </si>
  <si>
    <t>grsok stp 4*120</t>
  </si>
  <si>
    <t>paser cuci stp 7.250</t>
  </si>
  <si>
    <t>paser Sr pagi 4*200</t>
  </si>
  <si>
    <t>atmin Tf 15</t>
  </si>
  <si>
    <t>Batu Belah Sr.      :4 Rit</t>
  </si>
  <si>
    <t>Paser Sr pagi.        : 8 Rit</t>
  </si>
  <si>
    <t>paser Cuci Stp.   :7Rit</t>
  </si>
  <si>
    <t>Grosok stp.     :4 Rit</t>
  </si>
  <si>
    <t>paser SR.      :4 Rit</t>
  </si>
  <si>
    <t>Retase Material Stokpel dan pengeluaran Tgl 11 Februari 26</t>
  </si>
  <si>
    <t>Lois</t>
  </si>
  <si>
    <t>belanja alat elf p. yono</t>
  </si>
  <si>
    <t>pak yon</t>
  </si>
  <si>
    <t>dandan elf</t>
  </si>
  <si>
    <t>paser SR 6*200</t>
  </si>
  <si>
    <t>batu belah SR 7*900</t>
  </si>
  <si>
    <t>Rembo (siang)</t>
  </si>
  <si>
    <t>1paser stp 1</t>
  </si>
  <si>
    <t>Rahman (siang)</t>
  </si>
  <si>
    <t>grosok stp 1</t>
  </si>
  <si>
    <t>chy2, yono, tin, (malam)</t>
  </si>
  <si>
    <t>paser cuci 4*250</t>
  </si>
  <si>
    <t>frangky</t>
  </si>
  <si>
    <t>paser basah stp. 120+50</t>
  </si>
  <si>
    <t>Cahyo(malam)</t>
  </si>
  <si>
    <t xml:space="preserve">Paser stp 1 </t>
  </si>
  <si>
    <t>Abadi, Tino</t>
  </si>
  <si>
    <t>Grosok 2*120</t>
  </si>
  <si>
    <t>Paser SR               :6 Rit</t>
  </si>
  <si>
    <t>Batu belah SR.       :7 Rit</t>
  </si>
  <si>
    <t>paser stp             :1  Rit</t>
  </si>
  <si>
    <t xml:space="preserve"> Paser Irfa'i.              :7 Rit</t>
  </si>
  <si>
    <t>Grosok stp.         2 Rit</t>
  </si>
  <si>
    <t>Sirtu Irfa'i.                 :20 Rit</t>
  </si>
  <si>
    <t>paser Gringging.  :1 Rit</t>
  </si>
  <si>
    <t>Paser Stp.                :1 Rit</t>
  </si>
  <si>
    <t>Paser cuci.            :4+1(frengky)</t>
  </si>
  <si>
    <t>Grosok stp.              :1 Rit</t>
  </si>
  <si>
    <t>Retase Material Stokpel dan pengeluaran Tgl 12 Februari 26</t>
  </si>
  <si>
    <t>pagi Rembo 2</t>
  </si>
  <si>
    <t>Grosok stp 2*120</t>
  </si>
  <si>
    <t>paser Stp</t>
  </si>
  <si>
    <t>cahyo 2,Rohman , yono</t>
  </si>
  <si>
    <t>paaer cuci 4*250</t>
  </si>
  <si>
    <t>Grosok 3*120</t>
  </si>
  <si>
    <t>paser (malam)</t>
  </si>
  <si>
    <t>lois mbah men.       2 Rit</t>
  </si>
  <si>
    <t>paser Irfa'i.             8 Rit</t>
  </si>
  <si>
    <t>paser cuci stp.         4 Rit</t>
  </si>
  <si>
    <t>sirtu Irfa'i.                 11 Rit</t>
  </si>
  <si>
    <t>grosok stp.              5Rit</t>
  </si>
  <si>
    <t>paser Stp.              2 Rit</t>
  </si>
  <si>
    <t>Retase Material Stokpel dan pengeluaran Tgl 13 Februari 26</t>
  </si>
  <si>
    <t>Jarwo</t>
  </si>
  <si>
    <t>pakan las Rb +admin</t>
  </si>
  <si>
    <t>udin</t>
  </si>
  <si>
    <t>service lampu andri</t>
  </si>
  <si>
    <t>Abd, cahy, rem, yono</t>
  </si>
  <si>
    <t>Paser gadungan pare 4*250</t>
  </si>
  <si>
    <t>Abadi, rahman</t>
  </si>
  <si>
    <t>sirtu gadungan 2*250</t>
  </si>
  <si>
    <t>Tino</t>
  </si>
  <si>
    <t>paser gringging 1*250</t>
  </si>
  <si>
    <t>Yono, Cahyo malam</t>
  </si>
  <si>
    <t>frank, remb, yon, rah, cah, t</t>
  </si>
  <si>
    <t>Bjn Asia beton 6*600</t>
  </si>
  <si>
    <t>siang</t>
  </si>
  <si>
    <t>Malam grosok stp.        2 Rit</t>
  </si>
  <si>
    <t>paser gadungan        4 Rit</t>
  </si>
  <si>
    <t>paser bjonegoro.             6 Rit</t>
  </si>
  <si>
    <t>Sittu Gadungan.      2 Rit</t>
  </si>
  <si>
    <t>IBS paser.           4 Rit</t>
  </si>
  <si>
    <t>paser Gringging.        1 Rit</t>
  </si>
  <si>
    <t>IBS    sirtu.       6 Rit</t>
  </si>
  <si>
    <t>Lois paser Tamanan.    1 Rit</t>
  </si>
  <si>
    <t>paser Irfa'i.                   3 Rit</t>
  </si>
  <si>
    <t>Sirtu Irfa'i.                    9 Rit</t>
  </si>
  <si>
    <t>Retase Material Stokpel dan pengeluaran Tgl 14 Februari 26</t>
  </si>
  <si>
    <t>Udin, abadi</t>
  </si>
  <si>
    <t>grosok tosaren 2*150</t>
  </si>
  <si>
    <t>Udin3 , cahyo 1</t>
  </si>
  <si>
    <t>Grosok stp 4*120</t>
  </si>
  <si>
    <t>cahyo, Rembo, franky</t>
  </si>
  <si>
    <t>paser bjonegoro</t>
  </si>
  <si>
    <t>abd, tin</t>
  </si>
  <si>
    <t>batu split Tosaren</t>
  </si>
  <si>
    <t>2 Rit</t>
  </si>
  <si>
    <t>Grosok stokpel</t>
  </si>
  <si>
    <t>4 Rit</t>
  </si>
  <si>
    <t>paser bojonegoro</t>
  </si>
  <si>
    <t>5 Rit</t>
  </si>
  <si>
    <t>paser mabh men</t>
  </si>
  <si>
    <t>Leogong pak Tri</t>
  </si>
  <si>
    <t>Pengambilan material Armada Ndruwo Energi</t>
  </si>
  <si>
    <t>lahan</t>
  </si>
  <si>
    <t xml:space="preserve">paser </t>
  </si>
  <si>
    <t>Tagihan Material Dan Setoran</t>
  </si>
  <si>
    <t>plat nomer</t>
  </si>
  <si>
    <t>paser</t>
  </si>
  <si>
    <t>sirtu</t>
  </si>
  <si>
    <t>1 janiari malam</t>
  </si>
  <si>
    <t>Rofik</t>
  </si>
  <si>
    <t>AG 8328AM</t>
  </si>
  <si>
    <t>✓</t>
  </si>
  <si>
    <t>2 januari(fuad)</t>
  </si>
  <si>
    <t>Dwi</t>
  </si>
  <si>
    <t>S8369 UZ</t>
  </si>
  <si>
    <t>malam(Cat)</t>
  </si>
  <si>
    <t>4 Januari</t>
  </si>
  <si>
    <t>kes pak edi(fuad)</t>
  </si>
  <si>
    <t>Samsuri</t>
  </si>
  <si>
    <t>AG 8675EM</t>
  </si>
  <si>
    <t>3Januari</t>
  </si>
  <si>
    <t>5 februari</t>
  </si>
  <si>
    <t>lois stor frengky dan paser</t>
  </si>
  <si>
    <t>Andika</t>
  </si>
  <si>
    <t>AG 8624 UY</t>
  </si>
  <si>
    <t>6 Februari</t>
  </si>
  <si>
    <t>kes ndoko</t>
  </si>
  <si>
    <t>Jujuk</t>
  </si>
  <si>
    <t>S 8479 WG</t>
  </si>
  <si>
    <t>AG 9428 UJ</t>
  </si>
  <si>
    <t>5 januari</t>
  </si>
  <si>
    <t>6 januari</t>
  </si>
  <si>
    <t>7 Januari</t>
  </si>
  <si>
    <t>Total material</t>
  </si>
  <si>
    <t>10 Rit Sirtu</t>
  </si>
  <si>
    <t>10 Rit</t>
  </si>
  <si>
    <t>x250.000.   Rp</t>
  </si>
  <si>
    <t>2 februari</t>
  </si>
  <si>
    <t>Alat leogong</t>
  </si>
  <si>
    <t>jasa Alat</t>
  </si>
  <si>
    <t>lahan hitachi</t>
  </si>
  <si>
    <t>3 Januari</t>
  </si>
  <si>
    <t>Sisa op kmaren</t>
  </si>
  <si>
    <t>5 Januari</t>
  </si>
  <si>
    <t>6 Januari</t>
  </si>
  <si>
    <t>2 Februari</t>
  </si>
  <si>
    <t>print</t>
  </si>
  <si>
    <t>Total semntra</t>
  </si>
  <si>
    <t>blnj stop map</t>
  </si>
  <si>
    <t>5 Januari malam</t>
  </si>
  <si>
    <t>Abadi solr hitachi 48L</t>
  </si>
  <si>
    <t>papan dada tulis</t>
  </si>
  <si>
    <t>3 Februari</t>
  </si>
  <si>
    <t>7 Februari</t>
  </si>
  <si>
    <t>Jarwo, stel handel hit</t>
  </si>
  <si>
    <t>(siang)</t>
  </si>
  <si>
    <t>pak Rahmad 2*20</t>
  </si>
  <si>
    <t>konsumsi jar dn p yanto</t>
  </si>
  <si>
    <t>Iyon 11*40</t>
  </si>
  <si>
    <t>pen kuku cat kemaren</t>
  </si>
  <si>
    <t>konsumsi azis(stp)</t>
  </si>
  <si>
    <t>p Rohmat2*20</t>
  </si>
  <si>
    <t>tino dan frengky</t>
  </si>
  <si>
    <t>solar 96*8000</t>
  </si>
  <si>
    <t>Abadi sol hitchi 48 L</t>
  </si>
  <si>
    <t>admin tf</t>
  </si>
  <si>
    <t>pak rahmad 1*20</t>
  </si>
  <si>
    <t>Hidrolice oli 1 kemp</t>
  </si>
  <si>
    <t>Iyon 3*40</t>
  </si>
  <si>
    <t>oli hidrolice kyoso cat</t>
  </si>
  <si>
    <t>Lee mineral cat</t>
  </si>
  <si>
    <t>l</t>
  </si>
  <si>
    <t>Uang makan ebek"</t>
  </si>
  <si>
    <t>Jarwo sol+konsum</t>
  </si>
  <si>
    <t>Iyon 6*40</t>
  </si>
  <si>
    <t>mbah Rahmat 2*20</t>
  </si>
  <si>
    <t>pemuda</t>
  </si>
  <si>
    <t>Retase Material Stokpel dan pengeluaran Tgl 6 Februari 26</t>
  </si>
  <si>
    <t>Djarno</t>
  </si>
  <si>
    <t>Kasbon</t>
  </si>
  <si>
    <t>setyo 2,udin 1</t>
  </si>
  <si>
    <t>batu SR 3*900</t>
  </si>
  <si>
    <t>4 Februari</t>
  </si>
  <si>
    <t>yon, cahy, abad, yog</t>
  </si>
  <si>
    <t>paser SR 5*200</t>
  </si>
  <si>
    <t>5 Februari</t>
  </si>
  <si>
    <t>Rembo</t>
  </si>
  <si>
    <t>Grosok stp 1</t>
  </si>
  <si>
    <t>6 februari</t>
  </si>
  <si>
    <t>cahyo</t>
  </si>
  <si>
    <t>paser stp 1</t>
  </si>
  <si>
    <t>6 spr</t>
  </si>
  <si>
    <t>grosok stp 5*120</t>
  </si>
  <si>
    <t>Atmin Tf</t>
  </si>
  <si>
    <t xml:space="preserve">Paser SR </t>
  </si>
  <si>
    <t>irfa'i paser     2</t>
  </si>
  <si>
    <t>Batu belah SR</t>
  </si>
  <si>
    <t>3 Rit</t>
  </si>
  <si>
    <t>irfa'i sirtu.      31 Rit</t>
  </si>
  <si>
    <t>paserStp</t>
  </si>
  <si>
    <t>1 Rit</t>
  </si>
  <si>
    <t>paser mbah men</t>
  </si>
  <si>
    <t>Grosok Stp</t>
  </si>
  <si>
    <t>6 Rit</t>
  </si>
  <si>
    <t>Retase Material Stokpel dan pengeluaran Tgl 2 Februari26</t>
  </si>
  <si>
    <t>Retase Material Stokpel dan pengeluaran Tgl 7 Februari 26</t>
  </si>
  <si>
    <t>Stokpel  Aziz</t>
  </si>
  <si>
    <t>Solar loder</t>
  </si>
  <si>
    <t>Abadi 2,Yoga 2</t>
  </si>
  <si>
    <t>setyo , abadi</t>
  </si>
  <si>
    <t>batu sr 2*900</t>
  </si>
  <si>
    <t>Rembo 2, Udin</t>
  </si>
  <si>
    <t>Paser SR 3</t>
  </si>
  <si>
    <t>setyo, udin</t>
  </si>
  <si>
    <t>paser sr 2*200</t>
  </si>
  <si>
    <t>udin setyo. yog, cahy 2</t>
  </si>
  <si>
    <t>Grosok Stokpel 5*120</t>
  </si>
  <si>
    <t>udin tino cahyo</t>
  </si>
  <si>
    <t>grosok stp 3*120</t>
  </si>
  <si>
    <t>Udin, setyo</t>
  </si>
  <si>
    <t>pAser STP 2</t>
  </si>
  <si>
    <t>Udin stp(malam)</t>
  </si>
  <si>
    <t>Grosok stp</t>
  </si>
  <si>
    <t>Habib(op kemaren cat)</t>
  </si>
  <si>
    <t>operator</t>
  </si>
  <si>
    <t>Abadi gringging</t>
  </si>
  <si>
    <t>paser gringging</t>
  </si>
  <si>
    <t>Stokpel</t>
  </si>
  <si>
    <t>Gaji karyawan</t>
  </si>
  <si>
    <t>cahyo, franky, Tino</t>
  </si>
  <si>
    <t>paser bjn, 3*600</t>
  </si>
  <si>
    <t>pak yanto</t>
  </si>
  <si>
    <t>bensin</t>
  </si>
  <si>
    <t>Sirtu Irfa'i.             :         3 Rit</t>
  </si>
  <si>
    <t>Batu belah SR.          :4 Rit</t>
  </si>
  <si>
    <t>paser irfa'i.       :9 Rit</t>
  </si>
  <si>
    <t>Paser gringing     :         1 Rit</t>
  </si>
  <si>
    <t>Paser SR.                   :3 Rit</t>
  </si>
  <si>
    <t>sirtu Irfa'i.         :10 Rit</t>
  </si>
  <si>
    <t>paser Bojonegoro.     :3 Rit</t>
  </si>
  <si>
    <t>Grosok Stp.                :5 Rit</t>
  </si>
  <si>
    <t>Retase Material Stokpel dan pengeluaran Tgl 3 Februari 26</t>
  </si>
  <si>
    <t>Retase Material Stokpel dan pengeluaran Tgl 4 Februari 26</t>
  </si>
  <si>
    <t>rembo</t>
  </si>
  <si>
    <t>belanja alat</t>
  </si>
  <si>
    <t>pak jarno</t>
  </si>
  <si>
    <t>batre impac litium</t>
  </si>
  <si>
    <t>setyo 2</t>
  </si>
  <si>
    <t>batu belah SR 2*900</t>
  </si>
  <si>
    <t>udin 2,cahyo 1</t>
  </si>
  <si>
    <t>Grosok Stp 3*120</t>
  </si>
  <si>
    <t>setyo</t>
  </si>
  <si>
    <t>umbal jalan 1 rembo 1</t>
  </si>
  <si>
    <t>cahyo, udin</t>
  </si>
  <si>
    <t>paser SR 2*200</t>
  </si>
  <si>
    <t>minyak rem</t>
  </si>
  <si>
    <t>franky, cahyo,rambo</t>
  </si>
  <si>
    <t>bjnegoro 3*600</t>
  </si>
  <si>
    <t>Aziz</t>
  </si>
  <si>
    <t>blnja solar, bering, baut</t>
  </si>
  <si>
    <t>paser Irfa'i.       :2 Rit</t>
  </si>
  <si>
    <t>Sirtu irfa'i.         :12 Rit</t>
  </si>
  <si>
    <t>Lois paser.       :1 Rit</t>
  </si>
  <si>
    <t>3Rit</t>
  </si>
  <si>
    <t>Bojonegoro</t>
  </si>
  <si>
    <t>ban depan belakang</t>
  </si>
  <si>
    <t>Udin, Rembo</t>
  </si>
  <si>
    <t>grs stp 2*120</t>
  </si>
  <si>
    <t>setyo2, Abadi</t>
  </si>
  <si>
    <t>cahyo, franky</t>
  </si>
  <si>
    <t>paser gringging 2*250</t>
  </si>
  <si>
    <t>koral gringging 1</t>
  </si>
  <si>
    <t>udin2, Tino</t>
  </si>
  <si>
    <t>paser SR 3*200</t>
  </si>
  <si>
    <t>rem, abad, tin, cah, f</t>
  </si>
  <si>
    <t>Bojonegoro 5*600</t>
  </si>
  <si>
    <t>paser SR 1 rit</t>
  </si>
  <si>
    <t xml:space="preserve">sirtu Irfa'i. </t>
  </si>
  <si>
    <t>11 Rit</t>
  </si>
  <si>
    <t>Bojonegoro paser          5 Rit</t>
  </si>
  <si>
    <t>Lois mbah men</t>
  </si>
  <si>
    <t>Paser SR</t>
  </si>
  <si>
    <t>paser Gringging</t>
  </si>
  <si>
    <t>2Rit</t>
  </si>
  <si>
    <t>koral Gringging</t>
  </si>
  <si>
    <t>Retase Material Stokpel dan pengeluaran Tgl 5 Februari 26</t>
  </si>
  <si>
    <t>pakan las</t>
  </si>
  <si>
    <t>grosok stp 120*4</t>
  </si>
  <si>
    <t>cahyo 2,rembo, set</t>
  </si>
  <si>
    <t>rembo, setyo</t>
  </si>
  <si>
    <t>Batu belah 2*900</t>
  </si>
  <si>
    <t>udin batu split</t>
  </si>
  <si>
    <t>stp-SR batu split</t>
  </si>
  <si>
    <t>2 pack knalpot</t>
  </si>
  <si>
    <t>seal roda</t>
  </si>
  <si>
    <t>Rb,yog, Abd,chy, iko</t>
  </si>
  <si>
    <t>psr bjonegoro 5*600</t>
  </si>
  <si>
    <t>atmn TF+ Bri ling</t>
  </si>
  <si>
    <t>batu belah SR</t>
  </si>
  <si>
    <t>paser lois Tamanan</t>
  </si>
  <si>
    <t>batu split SR</t>
  </si>
  <si>
    <t>paser Bojonegoro</t>
  </si>
  <si>
    <t>paser Irfa'i</t>
  </si>
  <si>
    <t>8 Rit</t>
  </si>
  <si>
    <t>Sirtu Irfa'i</t>
  </si>
  <si>
    <t>25 Rit</t>
  </si>
  <si>
    <t>Grosok Stokpel</t>
  </si>
  <si>
    <t>AG 8180 EM</t>
  </si>
  <si>
    <t>Batu Belah SR plosoklaten</t>
  </si>
  <si>
    <t>No</t>
  </si>
  <si>
    <t>kubikasi</t>
  </si>
  <si>
    <t>S 9725 UN</t>
  </si>
  <si>
    <t>S8783UQ</t>
  </si>
  <si>
    <t>AG 8323 Ek</t>
  </si>
  <si>
    <t>AG 8075 EM</t>
  </si>
  <si>
    <t>Paser SR Plosoklaten</t>
  </si>
  <si>
    <t>Yoga</t>
  </si>
  <si>
    <t>Yono</t>
  </si>
  <si>
    <t>W 8653 NY</t>
  </si>
  <si>
    <t>Frengky</t>
  </si>
  <si>
    <t>CAHYO</t>
  </si>
  <si>
    <t>AG 8182EM</t>
  </si>
  <si>
    <t>Cahyo</t>
  </si>
  <si>
    <t>AG 8323 EK</t>
  </si>
  <si>
    <t>Batu split SR Plosoklaten</t>
  </si>
  <si>
    <t>Frangky</t>
  </si>
  <si>
    <t>Paser SR plosoklaten</t>
  </si>
  <si>
    <t>AG 8182 EM</t>
  </si>
  <si>
    <t>Cshyo</t>
  </si>
  <si>
    <t>Rahman</t>
  </si>
  <si>
    <t>S 8783 UQ</t>
  </si>
  <si>
    <t>Lahan</t>
  </si>
  <si>
    <t xml:space="preserve">Sirtu SR pak Topan </t>
  </si>
  <si>
    <t>Hitachi</t>
  </si>
  <si>
    <t>Pak Tri</t>
  </si>
  <si>
    <t xml:space="preserve">material Ndruwo Energy  Januari </t>
  </si>
  <si>
    <t>Hari/Tgl</t>
  </si>
  <si>
    <t>Sopir</t>
  </si>
  <si>
    <t>Jumlah Rit</t>
  </si>
  <si>
    <t>25 Januari</t>
  </si>
  <si>
    <t xml:space="preserve"> Sirtu/groaok</t>
  </si>
  <si>
    <t>senin/26 jan</t>
  </si>
  <si>
    <t>samijan</t>
  </si>
  <si>
    <t>25&amp;26</t>
  </si>
  <si>
    <t>selasa/27 jan</t>
  </si>
  <si>
    <t>26 Januari</t>
  </si>
  <si>
    <t>27&amp;28</t>
  </si>
  <si>
    <t>Rabu/28 jan</t>
  </si>
  <si>
    <t>29&amp;30</t>
  </si>
  <si>
    <t>kamis/29 jan</t>
  </si>
  <si>
    <t>27 Januari</t>
  </si>
  <si>
    <t>Jumat/30 jan</t>
  </si>
  <si>
    <t>Sabtu/ 31 Jan</t>
  </si>
  <si>
    <t>Samijan</t>
  </si>
  <si>
    <t>28 Januari</t>
  </si>
  <si>
    <t>29 Januari</t>
  </si>
  <si>
    <t>paser 7×550,000</t>
  </si>
  <si>
    <t>Rp</t>
  </si>
  <si>
    <t>30 januari</t>
  </si>
  <si>
    <t>Sirtu 19 x 250,000</t>
  </si>
  <si>
    <t>TOTAL</t>
  </si>
  <si>
    <t>31 Januari</t>
  </si>
  <si>
    <t>1 Februari</t>
  </si>
  <si>
    <t xml:space="preserve">Udin </t>
  </si>
  <si>
    <t>S8783 UQ</t>
  </si>
  <si>
    <t>Setyo</t>
  </si>
  <si>
    <t>Rambo</t>
  </si>
  <si>
    <t>30 Januari</t>
  </si>
  <si>
    <t>W8653 NY</t>
  </si>
  <si>
    <t>25 januari</t>
  </si>
  <si>
    <t>lahan hitachi/OP</t>
  </si>
  <si>
    <t>jasa bego</t>
  </si>
  <si>
    <t>lahan leogong</t>
  </si>
  <si>
    <t>Tagihan irfai 13 rit S</t>
  </si>
  <si>
    <t>27 januari</t>
  </si>
  <si>
    <t>Pak edi Tf masuk</t>
  </si>
  <si>
    <t>Transfer pak edi</t>
  </si>
  <si>
    <t>Tagihan Ndruwo</t>
  </si>
  <si>
    <t>28 Januari pagi</t>
  </si>
  <si>
    <t>pak edi Transfer</t>
  </si>
  <si>
    <t>p. priyono tf</t>
  </si>
  <si>
    <t xml:space="preserve">Cahyo stp+Rembo </t>
  </si>
  <si>
    <t>pak edi tf</t>
  </si>
  <si>
    <t>Jasa bego</t>
  </si>
  <si>
    <t>pak edi Tf pagi</t>
  </si>
  <si>
    <t>31 januari</t>
  </si>
  <si>
    <t>Armada &amp; stp</t>
  </si>
  <si>
    <t>pak edi Tf</t>
  </si>
  <si>
    <t>1 februaru</t>
  </si>
  <si>
    <t>1 januari</t>
  </si>
  <si>
    <t>Irfa'i</t>
  </si>
  <si>
    <t>AG 8208 UF</t>
  </si>
  <si>
    <t>Franky</t>
  </si>
  <si>
    <t>AG 8182 UF</t>
  </si>
  <si>
    <t>Item</t>
  </si>
  <si>
    <t>Harga</t>
  </si>
  <si>
    <t>handel gas leogong</t>
  </si>
  <si>
    <t>mekanik angga</t>
  </si>
  <si>
    <t>Wifi stokpel ptok</t>
  </si>
  <si>
    <t>Admin</t>
  </si>
  <si>
    <t>oli hdrlice lgong 2kmp</t>
  </si>
  <si>
    <t>jarwo Bensin</t>
  </si>
  <si>
    <t>pak yanto bensin</t>
  </si>
  <si>
    <t>mbah Rohmad 1 Rit</t>
  </si>
  <si>
    <t>konsumsi Mekanik</t>
  </si>
  <si>
    <t>Leogong. pompa solar</t>
  </si>
  <si>
    <t>kbl amper, kabel lamp</t>
  </si>
  <si>
    <t>nepel, selang grace, pr</t>
  </si>
  <si>
    <t>p jarno solar</t>
  </si>
  <si>
    <t>Retase Material Stokpel dan pengeluaran Tgl 28 Januari 26</t>
  </si>
  <si>
    <t>Ajis stokpel</t>
  </si>
  <si>
    <t>solar loder</t>
  </si>
  <si>
    <t>watu+onks SR</t>
  </si>
  <si>
    <t>koral gringging</t>
  </si>
  <si>
    <t>paser 11 Rit x120</t>
  </si>
  <si>
    <t>Grosok 5 Rit x120</t>
  </si>
  <si>
    <t>Bojonegoro paser</t>
  </si>
  <si>
    <t>Abadi, rembo, eko, frank</t>
  </si>
  <si>
    <t>bj negoro 4x600</t>
  </si>
  <si>
    <t>kasbon</t>
  </si>
  <si>
    <t>Koral gringging</t>
  </si>
  <si>
    <t>watu SR plosoklaten</t>
  </si>
  <si>
    <t>paser Stokpel</t>
  </si>
  <si>
    <t>Retase Material Stokpel dan pengeluaran Tgl 25 Januari 26</t>
  </si>
  <si>
    <t>Retase Material Stokpel dan pengeluaran Tgl 29 Januari 26</t>
  </si>
  <si>
    <t>Stokpel 9</t>
  </si>
  <si>
    <t>umbal stokpel 9×120</t>
  </si>
  <si>
    <t>bojonegoro</t>
  </si>
  <si>
    <t>bojonegoro 5x600</t>
  </si>
  <si>
    <t>bulnan p yanto pare</t>
  </si>
  <si>
    <t>belanja paser stokpel 9*470</t>
  </si>
  <si>
    <t>belanja batu SR</t>
  </si>
  <si>
    <t>Jarno</t>
  </si>
  <si>
    <t>Rembo ongkos SR</t>
  </si>
  <si>
    <t>Ongks Sr</t>
  </si>
  <si>
    <t>Frangky+Cahyo</t>
  </si>
  <si>
    <t>paser Sr ongks 2*200</t>
  </si>
  <si>
    <t>udin+cahyo 2+Tino</t>
  </si>
  <si>
    <t>paser stokpel 4*120</t>
  </si>
  <si>
    <t>All new</t>
  </si>
  <si>
    <t>Saku bjnegoro 5</t>
  </si>
  <si>
    <t>cahyo+Tino(malam)</t>
  </si>
  <si>
    <t>paser(malam) 2*120</t>
  </si>
  <si>
    <t>paser stokpel</t>
  </si>
  <si>
    <t>9 Rit</t>
  </si>
  <si>
    <t>Batu SR</t>
  </si>
  <si>
    <t>6Rit</t>
  </si>
  <si>
    <t>5Rit</t>
  </si>
  <si>
    <t>Retase Material Stokpel dan pengeluaran Tgl 26 Januari 26</t>
  </si>
  <si>
    <t>Aziz stokpel</t>
  </si>
  <si>
    <t>soalr loder</t>
  </si>
  <si>
    <t>Jareo</t>
  </si>
  <si>
    <t>untari andik jaya 295+</t>
  </si>
  <si>
    <t>Udin+ Setyo</t>
  </si>
  <si>
    <t>Watu SR (200+700)*2</t>
  </si>
  <si>
    <t xml:space="preserve">Jarwo </t>
  </si>
  <si>
    <t>Askruk+seker+pak kop+metal</t>
  </si>
  <si>
    <t>nambal ban Hyundai+</t>
  </si>
  <si>
    <t>sopi</t>
  </si>
  <si>
    <t>fanbel gilingan</t>
  </si>
  <si>
    <t xml:space="preserve">udin </t>
  </si>
  <si>
    <t>Grosok stokpel 1</t>
  </si>
  <si>
    <t>Udin dan setyo</t>
  </si>
  <si>
    <t>belanja watu+ongkos 900*2</t>
  </si>
  <si>
    <t>Setyo+Franky</t>
  </si>
  <si>
    <t>paser SR 2* 200</t>
  </si>
  <si>
    <t>Abadi (Gringging)</t>
  </si>
  <si>
    <t>paser 570+250</t>
  </si>
  <si>
    <t>domble+Abadi(mlm)</t>
  </si>
  <si>
    <t>Grosok stp 2x 120</t>
  </si>
  <si>
    <t>All (bjonegoro 5 Rit)</t>
  </si>
  <si>
    <t>bjnegoro 5x600</t>
  </si>
  <si>
    <t>watu SR(siang)</t>
  </si>
  <si>
    <t>Watu SR plosoklaten</t>
  </si>
  <si>
    <t>Paser SR(Siang)</t>
  </si>
  <si>
    <t>Paser Gringging</t>
  </si>
  <si>
    <t>Grosok Stokpel (siang</t>
  </si>
  <si>
    <t>1Rit</t>
  </si>
  <si>
    <t>Mbah men Lois</t>
  </si>
  <si>
    <t>Paser Ndruwo</t>
  </si>
  <si>
    <t>paser Bjnegoro</t>
  </si>
  <si>
    <t>Retase Material Stokpel dan pengeluaran Tgl 27 Januari 26</t>
  </si>
  <si>
    <t>Retase Material Stokpel dan pengeluaran Tgl 31 Januari 26</t>
  </si>
  <si>
    <t>Abadi Gringging</t>
  </si>
  <si>
    <t>saku ke pare</t>
  </si>
  <si>
    <t>tino 2,yoga, setyo</t>
  </si>
  <si>
    <t>ongks paser stp</t>
  </si>
  <si>
    <t>kurangan fanbel</t>
  </si>
  <si>
    <t>ongks batu sr</t>
  </si>
  <si>
    <t>Aziz stokpel&amp;udin</t>
  </si>
  <si>
    <t>andri dinamo</t>
  </si>
  <si>
    <t>belanja batu</t>
  </si>
  <si>
    <t>Stokpel patok</t>
  </si>
  <si>
    <t>yoga, cahyo, tino, abd</t>
  </si>
  <si>
    <t>saku Bjnegro  4</t>
  </si>
  <si>
    <t>setyo+Abadi</t>
  </si>
  <si>
    <t>watu (2×700+200)</t>
  </si>
  <si>
    <t>Rembo malam</t>
  </si>
  <si>
    <t>saku bojo negoro</t>
  </si>
  <si>
    <t>rembo+cahy+yono+Sety</t>
  </si>
  <si>
    <t>pasr SR 4x200</t>
  </si>
  <si>
    <t>yoga(siang)</t>
  </si>
  <si>
    <t xml:space="preserve"> grosok stp 1</t>
  </si>
  <si>
    <t>Cahyo(siang)</t>
  </si>
  <si>
    <t>Rembo, Yoga, yono, abd</t>
  </si>
  <si>
    <t>Bojonegoro 4x600</t>
  </si>
  <si>
    <t>Watu SR</t>
  </si>
  <si>
    <t>Paser Bojonegoro</t>
  </si>
  <si>
    <t>1 Rit (sore)</t>
  </si>
  <si>
    <t>grosok stp</t>
  </si>
  <si>
    <t>Bjnegoro</t>
  </si>
  <si>
    <t>4 Rit (malam)</t>
  </si>
  <si>
    <t>Retase Material Stokpel dan pengeluaran Tgl 1 Februaru 26</t>
  </si>
  <si>
    <t>pak yono+cqhyo</t>
  </si>
  <si>
    <t>watu SR 2*900</t>
  </si>
  <si>
    <t>yono</t>
  </si>
  <si>
    <t xml:space="preserve">Abadi </t>
  </si>
  <si>
    <t>master+minyak rem</t>
  </si>
  <si>
    <t>Abadi, cahyo, yono, yoga</t>
  </si>
  <si>
    <t>bjnegoro 4*600</t>
  </si>
  <si>
    <t>w8653NY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</si>
</sst>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(* #,##0_);_(* \(#,##0\);_(* &quot;-&quot;??_);_(@_)"/>
  </numFmts>
  <fonts count="20">
    <font>
      <sz val="11"/>
      <name val="Arial"/>
      <charset val="134"/>
    </font>
    <font>
      <sz val="16"/>
      <name val="Arial"/>
      <charset val="134"/>
    </font>
    <font>
      <sz val="14"/>
      <name val="Arial"/>
      <charset val="134"/>
    </font>
    <font>
      <b/>
      <sz val="16"/>
      <name val="Arial"/>
      <charset val="134"/>
    </font>
    <font>
      <b/>
      <sz val="18"/>
      <name val="Arial"/>
      <charset val="134"/>
    </font>
    <font>
      <b/>
      <sz val="16"/>
      <color rgb="FF36363D"/>
      <name val="Arial"/>
      <charset val="134"/>
    </font>
    <font>
      <b/>
      <sz val="18"/>
      <color rgb="FF36363D"/>
      <name val="Arial"/>
      <charset val="134"/>
    </font>
    <font>
      <b/>
      <sz val="16"/>
      <color rgb="FFBF0000"/>
      <name val="Arial"/>
      <charset val="134"/>
    </font>
    <font>
      <b/>
      <sz val="20"/>
      <name val="Arial"/>
      <charset val="134"/>
    </font>
    <font>
      <b/>
      <sz val="18"/>
      <color rgb="FF000000"/>
      <name val="Arial"/>
      <charset val="134"/>
    </font>
    <font>
      <sz val="18"/>
      <name val="Arial"/>
      <charset val="134"/>
    </font>
    <font>
      <b/>
      <sz val="14"/>
      <name val="Arial"/>
      <charset val="134"/>
    </font>
    <font>
      <b/>
      <sz val="12"/>
      <name val="Arial"/>
      <charset val="134"/>
    </font>
    <font>
      <sz val="12"/>
      <name val="Arial"/>
      <charset val="134"/>
    </font>
    <font>
      <b/>
      <i/>
      <sz val="14"/>
      <name val="Arial"/>
      <charset val="134"/>
    </font>
    <font>
      <b/>
      <sz val="24"/>
      <name val="Arial"/>
      <charset val="134"/>
    </font>
    <font>
      <b/>
      <sz val="18"/>
      <color rgb="FFBF0000"/>
      <name val="Arial"/>
      <charset val="134"/>
    </font>
    <font>
      <b/>
      <sz val="11"/>
      <name val="Arial"/>
      <charset val="134"/>
    </font>
    <font>
      <b/>
      <u/>
      <sz val="14"/>
      <name val="Arial"/>
      <charset val="134"/>
    </font>
    <font>
      <b/>
      <i/>
      <u/>
      <sz val="14"/>
      <name val="Arial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4F"/>
        <bgColor indexed="64"/>
      </patternFill>
    </fill>
    <fill>
      <patternFill patternType="solid">
        <fgColor rgb="FFD0461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2A5E3"/>
        <bgColor indexed="64"/>
      </patternFill>
    </fill>
    <fill>
      <patternFill patternType="solid">
        <fgColor rgb="FFFFE100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3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2" fontId="2" fillId="0" borderId="1" xfId="0" applyNumberFormat="1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" fontId="3" fillId="0" borderId="1" xfId="0" applyNumberFormat="1" applyFont="1" applyBorder="1" applyAlignment="1">
      <alignment horizontal="left" vertical="center"/>
    </xf>
    <xf numFmtId="0" fontId="3" fillId="0" borderId="1" xfId="0" applyFont="1" applyBorder="1">
      <alignment vertical="center"/>
    </xf>
    <xf numFmtId="166" fontId="3" fillId="0" borderId="1" xfId="0" applyNumberFormat="1" applyFont="1" applyBorder="1">
      <alignment vertical="center"/>
    </xf>
    <xf numFmtId="2" fontId="3" fillId="0" borderId="1" xfId="0" applyNumberFormat="1" applyFont="1" applyBorder="1">
      <alignment vertical="center"/>
    </xf>
    <xf numFmtId="1" fontId="4" fillId="0" borderId="1" xfId="0" applyNumberFormat="1" applyFont="1" applyBorder="1">
      <alignment vertical="center"/>
    </xf>
    <xf numFmtId="1" fontId="3" fillId="0" borderId="1" xfId="0" applyNumberFormat="1" applyFont="1" applyBorder="1">
      <alignment vertical="center"/>
    </xf>
    <xf numFmtId="0" fontId="5" fillId="0" borderId="1" xfId="0" applyFont="1" applyBorder="1" applyAlignment="1">
      <alignment horizontal="left" vertical="center"/>
    </xf>
    <xf numFmtId="16" fontId="5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1" fontId="4" fillId="0" borderId="1" xfId="0" applyNumberFormat="1" applyFont="1" applyBorder="1" applyAlignment="1">
      <alignment horizontal="right" vertical="center"/>
    </xf>
    <xf numFmtId="0" fontId="5" fillId="0" borderId="1" xfId="0" applyFont="1" applyBorder="1">
      <alignment vertical="center"/>
    </xf>
    <xf numFmtId="166" fontId="5" fillId="0" borderId="1" xfId="0" applyNumberFormat="1" applyFont="1" applyBorder="1">
      <alignment vertical="center"/>
    </xf>
    <xf numFmtId="1" fontId="6" fillId="0" borderId="1" xfId="0" applyNumberFormat="1" applyFont="1" applyBorder="1">
      <alignment vertical="center"/>
    </xf>
    <xf numFmtId="1" fontId="5" fillId="0" borderId="1" xfId="0" applyNumberFormat="1" applyFont="1" applyBorder="1">
      <alignment vertical="center"/>
    </xf>
    <xf numFmtId="166" fontId="3" fillId="0" borderId="1" xfId="0" applyNumberFormat="1" applyFont="1" applyBorder="1" applyAlignment="1">
      <alignment horizontal="right" vertical="center"/>
    </xf>
    <xf numFmtId="1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1" fontId="6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16" fontId="5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166" fontId="3" fillId="2" borderId="1" xfId="0" applyNumberFormat="1" applyFont="1" applyFill="1" applyBorder="1">
      <alignment vertical="center"/>
    </xf>
    <xf numFmtId="1" fontId="4" fillId="2" borderId="1" xfId="0" applyNumberFormat="1" applyFont="1" applyFill="1" applyBorder="1">
      <alignment vertical="center"/>
    </xf>
    <xf numFmtId="1" fontId="3" fillId="2" borderId="1" xfId="0" applyNumberFormat="1" applyFont="1" applyFill="1" applyBorder="1">
      <alignment vertical="center"/>
    </xf>
    <xf numFmtId="0" fontId="3" fillId="0" borderId="2" xfId="0" applyFont="1" applyBorder="1">
      <alignment vertical="center"/>
    </xf>
    <xf numFmtId="166" fontId="3" fillId="0" borderId="3" xfId="0" applyNumberFormat="1" applyFont="1" applyBorder="1">
      <alignment vertical="center"/>
    </xf>
    <xf numFmtId="0" fontId="4" fillId="0" borderId="2" xfId="0" applyFont="1" applyBorder="1">
      <alignment vertical="center"/>
    </xf>
    <xf numFmtId="0" fontId="7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2" fontId="3" fillId="0" borderId="0" xfId="0" applyNumberFormat="1" applyFont="1">
      <alignment vertical="center"/>
    </xf>
    <xf numFmtId="0" fontId="4" fillId="0" borderId="0" xfId="0" applyFont="1" applyAlignment="1">
      <alignment horizontal="left" vertical="center"/>
    </xf>
    <xf numFmtId="0" fontId="3" fillId="3" borderId="0" xfId="0" applyFont="1" applyFill="1">
      <alignment vertical="center"/>
    </xf>
    <xf numFmtId="166" fontId="4" fillId="0" borderId="0" xfId="0" applyNumberFormat="1" applyFont="1">
      <alignment vertical="center"/>
    </xf>
    <xf numFmtId="0" fontId="3" fillId="4" borderId="0" xfId="0" applyFont="1" applyFill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0" fontId="4" fillId="3" borderId="0" xfId="0" applyFont="1" applyFill="1">
      <alignment vertical="center"/>
    </xf>
    <xf numFmtId="0" fontId="4" fillId="0" borderId="0" xfId="0" applyFont="1">
      <alignment vertical="center"/>
    </xf>
    <xf numFmtId="0" fontId="4" fillId="2" borderId="6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4" borderId="0" xfId="0" applyFont="1" applyFill="1">
      <alignment vertical="center"/>
    </xf>
    <xf numFmtId="14" fontId="4" fillId="0" borderId="6" xfId="0" applyNumberFormat="1" applyFont="1" applyBorder="1">
      <alignment vertical="center"/>
    </xf>
    <xf numFmtId="0" fontId="4" fillId="0" borderId="1" xfId="0" applyFont="1" applyBorder="1">
      <alignment vertical="center"/>
    </xf>
    <xf numFmtId="2" fontId="4" fillId="0" borderId="0" xfId="0" applyNumberFormat="1" applyFont="1">
      <alignment vertical="center"/>
    </xf>
    <xf numFmtId="0" fontId="4" fillId="0" borderId="6" xfId="0" applyFont="1" applyBorder="1">
      <alignment vertical="center"/>
    </xf>
    <xf numFmtId="0" fontId="4" fillId="0" borderId="1" xfId="0" applyFont="1" applyBorder="1" applyAlignment="1">
      <alignment horizontal="right" vertical="center"/>
    </xf>
    <xf numFmtId="166" fontId="4" fillId="0" borderId="0" xfId="0" applyNumberFormat="1" applyFont="1" applyAlignment="1">
      <alignment horizontal="right" vertical="center"/>
    </xf>
    <xf numFmtId="1" fontId="4" fillId="0" borderId="6" xfId="0" applyNumberFormat="1" applyFont="1" applyBorder="1" applyAlignment="1">
      <alignment horizontal="left" vertical="center"/>
    </xf>
    <xf numFmtId="0" fontId="6" fillId="5" borderId="0" xfId="0" applyFont="1" applyFill="1">
      <alignment vertical="center"/>
    </xf>
    <xf numFmtId="0" fontId="4" fillId="0" borderId="1" xfId="0" applyFont="1" applyBorder="1" applyAlignment="1">
      <alignment horizontal="left" vertical="center"/>
    </xf>
    <xf numFmtId="0" fontId="4" fillId="6" borderId="0" xfId="0" applyFont="1" applyFill="1">
      <alignment vertical="center"/>
    </xf>
    <xf numFmtId="166" fontId="8" fillId="6" borderId="0" xfId="0" applyNumberFormat="1" applyFont="1" applyFill="1">
      <alignment vertical="center"/>
    </xf>
    <xf numFmtId="166" fontId="8" fillId="0" borderId="0" xfId="0" applyNumberFormat="1" applyFont="1">
      <alignment vertical="center"/>
    </xf>
    <xf numFmtId="166" fontId="8" fillId="2" borderId="0" xfId="0" applyNumberFormat="1" applyFont="1" applyFill="1">
      <alignment vertical="center"/>
    </xf>
    <xf numFmtId="166" fontId="4" fillId="0" borderId="1" xfId="0" applyNumberFormat="1" applyFont="1" applyBorder="1">
      <alignment vertical="center"/>
    </xf>
    <xf numFmtId="0" fontId="4" fillId="2" borderId="7" xfId="0" applyFont="1" applyFill="1" applyBorder="1">
      <alignment vertical="center"/>
    </xf>
    <xf numFmtId="0" fontId="4" fillId="2" borderId="8" xfId="0" applyFont="1" applyFill="1" applyBorder="1">
      <alignment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3" fillId="0" borderId="6" xfId="0" applyFont="1" applyBorder="1">
      <alignment vertical="center"/>
    </xf>
    <xf numFmtId="166" fontId="3" fillId="0" borderId="10" xfId="0" applyNumberFormat="1" applyFont="1" applyBorder="1">
      <alignment vertical="center"/>
    </xf>
    <xf numFmtId="0" fontId="3" fillId="0" borderId="6" xfId="0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>
      <alignment vertical="center"/>
    </xf>
    <xf numFmtId="166" fontId="3" fillId="5" borderId="1" xfId="0" applyNumberFormat="1" applyFont="1" applyFill="1" applyBorder="1">
      <alignment vertical="center"/>
    </xf>
    <xf numFmtId="0" fontId="3" fillId="0" borderId="6" xfId="0" applyFont="1" applyBorder="1" applyAlignment="1">
      <alignment horizontal="left" vertical="center"/>
    </xf>
    <xf numFmtId="166" fontId="3" fillId="5" borderId="10" xfId="0" applyNumberFormat="1" applyFont="1" applyFill="1" applyBorder="1">
      <alignment vertical="center"/>
    </xf>
    <xf numFmtId="0" fontId="0" fillId="0" borderId="1" xfId="0" applyBorder="1">
      <alignment vertical="center"/>
    </xf>
    <xf numFmtId="0" fontId="10" fillId="0" borderId="1" xfId="0" applyFont="1" applyBorder="1">
      <alignment vertical="center"/>
    </xf>
    <xf numFmtId="0" fontId="0" fillId="0" borderId="10" xfId="0" applyBorder="1">
      <alignment vertical="center"/>
    </xf>
    <xf numFmtId="166" fontId="3" fillId="0" borderId="1" xfId="0" applyNumberFormat="1" applyFont="1" applyBorder="1" applyAlignment="1">
      <alignment horizontal="left" vertical="center"/>
    </xf>
    <xf numFmtId="0" fontId="12" fillId="0" borderId="6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/>
    </xf>
    <xf numFmtId="0" fontId="12" fillId="0" borderId="10" xfId="0" applyFont="1" applyBorder="1" applyAlignment="1">
      <alignment horizontal="center" vertical="top"/>
    </xf>
    <xf numFmtId="0" fontId="12" fillId="0" borderId="7" xfId="0" applyFont="1" applyBorder="1" applyAlignment="1">
      <alignment horizontal="center" vertical="top"/>
    </xf>
    <xf numFmtId="0" fontId="12" fillId="2" borderId="8" xfId="0" applyFont="1" applyFill="1" applyBorder="1" applyAlignment="1">
      <alignment horizontal="center" vertical="top"/>
    </xf>
    <xf numFmtId="0" fontId="12" fillId="2" borderId="11" xfId="0" applyFont="1" applyFill="1" applyBorder="1" applyAlignment="1">
      <alignment horizontal="center" vertical="top"/>
    </xf>
    <xf numFmtId="0" fontId="12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166" fontId="12" fillId="0" borderId="0" xfId="0" applyNumberFormat="1" applyFont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 vertical="center"/>
    </xf>
    <xf numFmtId="166" fontId="12" fillId="2" borderId="0" xfId="0" applyNumberFormat="1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>
      <alignment vertical="center"/>
    </xf>
    <xf numFmtId="0" fontId="0" fillId="0" borderId="0" xfId="0" applyAlignment="1">
      <alignment horizontal="center" vertical="center"/>
    </xf>
    <xf numFmtId="166" fontId="3" fillId="2" borderId="1" xfId="0" applyNumberFormat="1" applyFont="1" applyFill="1" applyBorder="1" applyAlignment="1">
      <alignment horizontal="left" vertical="center"/>
    </xf>
    <xf numFmtId="0" fontId="1" fillId="0" borderId="0" xfId="0" applyFont="1">
      <alignment vertical="center"/>
    </xf>
    <xf numFmtId="0" fontId="4" fillId="2" borderId="10" xfId="0" applyFont="1" applyFill="1" applyBorder="1">
      <alignment vertical="center"/>
    </xf>
    <xf numFmtId="166" fontId="10" fillId="0" borderId="10" xfId="0" applyNumberFormat="1" applyFont="1" applyBorder="1">
      <alignment vertical="center"/>
    </xf>
    <xf numFmtId="166" fontId="4" fillId="0" borderId="10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66" fontId="4" fillId="2" borderId="11" xfId="0" applyNumberFormat="1" applyFont="1" applyFill="1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>
      <alignment vertical="center"/>
    </xf>
    <xf numFmtId="0" fontId="0" fillId="2" borderId="11" xfId="0" applyFill="1" applyBorder="1" applyAlignment="1">
      <alignment horizontal="center" vertical="center"/>
    </xf>
    <xf numFmtId="0" fontId="11" fillId="0" borderId="1" xfId="0" applyFont="1" applyBorder="1">
      <alignment vertical="center"/>
    </xf>
    <xf numFmtId="0" fontId="11" fillId="0" borderId="1" xfId="0" applyFont="1" applyBorder="1" applyAlignment="1">
      <alignment horizontal="left" vertical="center"/>
    </xf>
    <xf numFmtId="166" fontId="11" fillId="0" borderId="1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166" fontId="11" fillId="0" borderId="19" xfId="0" applyNumberFormat="1" applyFont="1" applyBorder="1" applyAlignment="1">
      <alignment horizontal="right" vertical="center"/>
    </xf>
    <xf numFmtId="0" fontId="11" fillId="0" borderId="6" xfId="0" applyFont="1" applyBorder="1" applyAlignment="1">
      <alignment horizontal="left" vertical="center"/>
    </xf>
    <xf numFmtId="166" fontId="11" fillId="0" borderId="10" xfId="0" applyNumberFormat="1" applyFont="1" applyBorder="1" applyAlignment="1">
      <alignment horizontal="right" vertical="center"/>
    </xf>
    <xf numFmtId="0" fontId="14" fillId="0" borderId="6" xfId="0" applyFont="1" applyBorder="1" applyAlignment="1">
      <alignment horizontal="left" vertical="center"/>
    </xf>
    <xf numFmtId="0" fontId="11" fillId="0" borderId="0" xfId="0" applyFont="1">
      <alignment vertical="center"/>
    </xf>
    <xf numFmtId="0" fontId="11" fillId="2" borderId="1" xfId="0" applyFont="1" applyFill="1" applyBorder="1">
      <alignment vertical="center"/>
    </xf>
    <xf numFmtId="166" fontId="11" fillId="2" borderId="1" xfId="0" applyNumberFormat="1" applyFont="1" applyFill="1" applyBorder="1" applyAlignment="1">
      <alignment horizontal="right" vertical="center"/>
    </xf>
    <xf numFmtId="0" fontId="11" fillId="2" borderId="7" xfId="0" applyFont="1" applyFill="1" applyBorder="1" applyAlignment="1">
      <alignment horizontal="left" vertical="center"/>
    </xf>
    <xf numFmtId="0" fontId="11" fillId="2" borderId="8" xfId="0" applyFont="1" applyFill="1" applyBorder="1" applyAlignment="1">
      <alignment horizontal="left" vertical="center"/>
    </xf>
    <xf numFmtId="0" fontId="11" fillId="2" borderId="11" xfId="0" applyFont="1" applyFill="1" applyBorder="1" applyAlignment="1">
      <alignment horizontal="right" vertical="center"/>
    </xf>
    <xf numFmtId="0" fontId="2" fillId="0" borderId="0" xfId="0" applyFont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166" fontId="11" fillId="0" borderId="22" xfId="0" applyNumberFormat="1" applyFont="1" applyBorder="1">
      <alignment vertical="center"/>
    </xf>
    <xf numFmtId="0" fontId="11" fillId="0" borderId="6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6" xfId="0" applyFont="1" applyBorder="1">
      <alignment vertical="center"/>
    </xf>
    <xf numFmtId="0" fontId="11" fillId="0" borderId="10" xfId="0" applyFont="1" applyBorder="1">
      <alignment vertical="center"/>
    </xf>
    <xf numFmtId="0" fontId="11" fillId="0" borderId="7" xfId="0" applyFont="1" applyBorder="1">
      <alignment vertical="center"/>
    </xf>
    <xf numFmtId="0" fontId="11" fillId="0" borderId="8" xfId="0" applyFont="1" applyBorder="1">
      <alignment vertical="center"/>
    </xf>
    <xf numFmtId="166" fontId="11" fillId="0" borderId="11" xfId="0" applyNumberFormat="1" applyFont="1" applyBorder="1">
      <alignment vertical="center"/>
    </xf>
    <xf numFmtId="0" fontId="0" fillId="0" borderId="0" xfId="0" applyAlignment="1">
      <alignment horizontal="left" vertical="center"/>
    </xf>
    <xf numFmtId="2" fontId="11" fillId="0" borderId="10" xfId="0" applyNumberFormat="1" applyFont="1" applyBorder="1">
      <alignment vertical="center"/>
    </xf>
    <xf numFmtId="0" fontId="11" fillId="0" borderId="8" xfId="0" applyFont="1" applyBorder="1" applyAlignment="1">
      <alignment horizontal="center" vertical="center"/>
    </xf>
    <xf numFmtId="0" fontId="11" fillId="0" borderId="11" xfId="0" applyFont="1" applyBorder="1">
      <alignment vertical="center"/>
    </xf>
    <xf numFmtId="0" fontId="11" fillId="0" borderId="1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" fillId="0" borderId="6" xfId="0" applyFont="1" applyBorder="1">
      <alignment vertical="center"/>
    </xf>
    <xf numFmtId="0" fontId="1" fillId="0" borderId="1" xfId="0" applyFont="1" applyBorder="1">
      <alignment vertical="center"/>
    </xf>
    <xf numFmtId="166" fontId="1" fillId="0" borderId="1" xfId="0" applyNumberFormat="1" applyFont="1" applyBorder="1">
      <alignment vertical="center"/>
    </xf>
    <xf numFmtId="0" fontId="10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11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166" fontId="11" fillId="0" borderId="11" xfId="0" applyNumberFormat="1" applyFont="1" applyBorder="1" applyAlignment="1">
      <alignment horizontal="right" vertical="center"/>
    </xf>
    <xf numFmtId="0" fontId="16" fillId="0" borderId="1" xfId="0" applyFont="1" applyBorder="1" applyAlignment="1">
      <alignment horizontal="center" vertical="center"/>
    </xf>
    <xf numFmtId="166" fontId="0" fillId="0" borderId="10" xfId="0" applyNumberForma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166" fontId="4" fillId="0" borderId="11" xfId="0" applyNumberFormat="1" applyFont="1" applyBorder="1">
      <alignment vertical="center"/>
    </xf>
    <xf numFmtId="0" fontId="17" fillId="0" borderId="17" xfId="0" applyFont="1" applyBorder="1">
      <alignment vertical="center"/>
    </xf>
    <xf numFmtId="0" fontId="17" fillId="0" borderId="18" xfId="0" applyFont="1" applyBorder="1">
      <alignment vertical="center"/>
    </xf>
    <xf numFmtId="0" fontId="17" fillId="0" borderId="18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6" xfId="0" applyFont="1" applyBorder="1">
      <alignment vertical="center"/>
    </xf>
    <xf numFmtId="0" fontId="17" fillId="0" borderId="1" xfId="0" applyFont="1" applyBorder="1">
      <alignment vertical="center"/>
    </xf>
    <xf numFmtId="0" fontId="17" fillId="0" borderId="1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0" xfId="0" applyFont="1" applyBorder="1">
      <alignment vertical="center"/>
    </xf>
    <xf numFmtId="0" fontId="17" fillId="0" borderId="8" xfId="0" applyFont="1" applyBorder="1">
      <alignment vertical="center"/>
    </xf>
    <xf numFmtId="0" fontId="17" fillId="0" borderId="11" xfId="0" applyFont="1" applyBorder="1">
      <alignment vertical="center"/>
    </xf>
    <xf numFmtId="166" fontId="0" fillId="0" borderId="0" xfId="0" applyNumberFormat="1" applyAlignment="1">
      <alignment horizontal="left" vertical="center"/>
    </xf>
    <xf numFmtId="166" fontId="11" fillId="2" borderId="11" xfId="0" applyNumberFormat="1" applyFont="1" applyFill="1" applyBorder="1" applyAlignment="1">
      <alignment horizontal="right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12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6" xfId="0" applyFont="1" applyBorder="1">
      <alignment vertical="center"/>
    </xf>
    <xf numFmtId="0" fontId="12" fillId="0" borderId="1" xfId="0" applyFont="1" applyBorder="1">
      <alignment vertical="center"/>
    </xf>
    <xf numFmtId="0" fontId="12" fillId="0" borderId="23" xfId="0" applyFont="1" applyBorder="1">
      <alignment vertical="center"/>
    </xf>
    <xf numFmtId="0" fontId="12" fillId="0" borderId="24" xfId="0" applyFont="1" applyBorder="1" applyAlignment="1">
      <alignment horizontal="center" vertical="center"/>
    </xf>
    <xf numFmtId="0" fontId="12" fillId="0" borderId="24" xfId="0" applyFont="1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12" fillId="0" borderId="10" xfId="0" applyFont="1" applyBorder="1" applyAlignment="1">
      <alignment horizontal="center" vertical="center"/>
    </xf>
    <xf numFmtId="166" fontId="12" fillId="0" borderId="10" xfId="0" applyNumberFormat="1" applyFont="1" applyBorder="1">
      <alignment vertical="center"/>
    </xf>
    <xf numFmtId="0" fontId="12" fillId="0" borderId="10" xfId="0" applyFont="1" applyBorder="1">
      <alignment vertical="center"/>
    </xf>
    <xf numFmtId="166" fontId="12" fillId="0" borderId="25" xfId="0" applyNumberFormat="1" applyFont="1" applyBorder="1">
      <alignment vertical="center"/>
    </xf>
    <xf numFmtId="166" fontId="0" fillId="0" borderId="16" xfId="0" applyNumberFormat="1" applyBorder="1">
      <alignment vertical="center"/>
    </xf>
    <xf numFmtId="0" fontId="2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0" fontId="14" fillId="0" borderId="7" xfId="0" applyFont="1" applyBorder="1" applyAlignment="1">
      <alignment horizontal="left" vertical="center"/>
    </xf>
    <xf numFmtId="0" fontId="19" fillId="0" borderId="0" xfId="0" applyFont="1">
      <alignment vertical="center"/>
    </xf>
    <xf numFmtId="0" fontId="15" fillId="3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1" fillId="0" borderId="4" xfId="0" applyFont="1" applyBorder="1" applyAlignment="1">
      <alignment horizontal="center" vertical="top"/>
    </xf>
    <xf numFmtId="0" fontId="11" fillId="0" borderId="5" xfId="0" applyFont="1" applyBorder="1" applyAlignment="1">
      <alignment horizontal="center" vertical="top"/>
    </xf>
    <xf numFmtId="0" fontId="11" fillId="0" borderId="9" xfId="0" applyFont="1" applyBorder="1" applyAlignment="1">
      <alignment horizontal="center" vertical="top"/>
    </xf>
    <xf numFmtId="0" fontId="8" fillId="5" borderId="9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1" fontId="4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4"/>
  <sheetViews>
    <sheetView tabSelected="1" topLeftCell="A102" zoomScale="47" zoomScaleNormal="66" workbookViewId="0">
      <selection activeCell="M1" sqref="M1:R6"/>
    </sheetView>
  </sheetViews>
  <sheetFormatPr defaultColWidth="10" defaultRowHeight="22.8"/>
  <cols>
    <col min="1" max="1" width="27" customWidth="1"/>
    <col min="2" max="2" width="29.69921875" customWidth="1"/>
    <col min="3" max="3" width="27.5" customWidth="1"/>
    <col min="4" max="4" width="22.19921875" customWidth="1"/>
    <col min="5" max="5" width="33.19921875" customWidth="1"/>
    <col min="6" max="6" width="36.3984375" style="150" customWidth="1"/>
    <col min="7" max="7" width="20.3984375" customWidth="1"/>
    <col min="8" max="8" width="40.8984375" customWidth="1"/>
    <col min="9" max="9" width="20.19921875" customWidth="1"/>
    <col min="11" max="11" width="20.09765625" customWidth="1"/>
    <col min="13" max="13" width="19.59765625" customWidth="1"/>
    <col min="14" max="14" width="16.69921875" customWidth="1"/>
    <col min="15" max="15" width="16.59765625" customWidth="1"/>
    <col min="18" max="18" width="14.09765625" customWidth="1"/>
    <col min="20" max="20" width="14.3984375" customWidth="1"/>
    <col min="21" max="21" width="13.3984375" customWidth="1"/>
  </cols>
  <sheetData>
    <row r="1" spans="1:18" ht="44.1" customHeight="1">
      <c r="A1" s="198" t="s">
        <v>0</v>
      </c>
      <c r="B1" s="198"/>
      <c r="C1" s="198"/>
      <c r="D1" s="198"/>
      <c r="E1" s="145" t="s">
        <v>1</v>
      </c>
      <c r="G1" s="199" t="s">
        <v>2</v>
      </c>
      <c r="H1" s="200"/>
      <c r="I1" s="201"/>
      <c r="M1" s="202" t="s">
        <v>3</v>
      </c>
      <c r="N1" s="203"/>
      <c r="O1" s="203"/>
      <c r="P1" s="203"/>
      <c r="Q1" s="203"/>
      <c r="R1" s="204"/>
    </row>
    <row r="2" spans="1:18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  <c r="G2" s="47" t="s">
        <v>9</v>
      </c>
      <c r="H2" s="48" t="s">
        <v>10</v>
      </c>
      <c r="I2" s="100" t="s">
        <v>11</v>
      </c>
      <c r="M2" s="179" t="s">
        <v>12</v>
      </c>
      <c r="N2" s="180" t="s">
        <v>13</v>
      </c>
      <c r="O2" s="180" t="s">
        <v>14</v>
      </c>
      <c r="P2" s="180" t="s">
        <v>15</v>
      </c>
      <c r="Q2" s="180" t="s">
        <v>16</v>
      </c>
      <c r="R2" s="188" t="s">
        <v>11</v>
      </c>
    </row>
    <row r="3" spans="1:18">
      <c r="A3" s="9" t="s">
        <v>17</v>
      </c>
      <c r="B3" s="10">
        <v>13</v>
      </c>
      <c r="C3" s="10">
        <v>3</v>
      </c>
      <c r="D3" s="11">
        <f t="shared" ref="D3:D23" si="0">SUM((B3*55000)+(C3*20000))</f>
        <v>775000</v>
      </c>
      <c r="E3" s="14">
        <v>-3860000</v>
      </c>
      <c r="G3" s="50"/>
      <c r="H3" s="51"/>
      <c r="I3" s="101"/>
      <c r="M3" s="181" t="s">
        <v>18</v>
      </c>
      <c r="N3" s="180">
        <v>2</v>
      </c>
      <c r="O3" s="182">
        <v>7</v>
      </c>
      <c r="P3" s="182">
        <v>0</v>
      </c>
      <c r="Q3" s="182">
        <v>0</v>
      </c>
      <c r="R3" s="189">
        <f>SUM((N3*200000)+(O3*180000)+(P3*100000)+(Q3*80000))</f>
        <v>1660000</v>
      </c>
    </row>
    <row r="4" spans="1:18">
      <c r="A4" s="15" t="s">
        <v>19</v>
      </c>
      <c r="B4" s="10">
        <v>7</v>
      </c>
      <c r="C4" s="10">
        <v>11</v>
      </c>
      <c r="D4" s="11">
        <f t="shared" si="0"/>
        <v>605000</v>
      </c>
      <c r="E4" s="14">
        <v>-3180000</v>
      </c>
      <c r="G4" s="53" t="s">
        <v>20</v>
      </c>
      <c r="H4" s="51" t="s">
        <v>21</v>
      </c>
      <c r="I4" s="101">
        <v>29700000</v>
      </c>
      <c r="M4" s="181"/>
      <c r="N4" s="180" t="s">
        <v>22</v>
      </c>
      <c r="O4" s="182"/>
      <c r="P4" s="182"/>
      <c r="Q4" s="182"/>
      <c r="R4" s="190"/>
    </row>
    <row r="5" spans="1:18">
      <c r="A5" s="16" t="s">
        <v>23</v>
      </c>
      <c r="B5" s="10">
        <v>24</v>
      </c>
      <c r="C5" s="10">
        <v>24</v>
      </c>
      <c r="D5" s="11">
        <f t="shared" si="0"/>
        <v>1800000</v>
      </c>
      <c r="E5" s="14">
        <v>-8305000</v>
      </c>
      <c r="G5" s="56" t="s">
        <v>24</v>
      </c>
      <c r="H5" s="51" t="s">
        <v>25</v>
      </c>
      <c r="I5" s="101">
        <v>10000000</v>
      </c>
      <c r="M5" s="183" t="s">
        <v>26</v>
      </c>
      <c r="N5" s="184">
        <v>0</v>
      </c>
      <c r="O5" s="185"/>
      <c r="P5" s="185"/>
      <c r="Q5" s="185"/>
      <c r="R5" s="191">
        <f>N5*12000</f>
        <v>0</v>
      </c>
    </row>
    <row r="6" spans="1:18">
      <c r="A6" s="16" t="s">
        <v>19</v>
      </c>
      <c r="B6" s="10">
        <v>14</v>
      </c>
      <c r="C6" s="10">
        <v>14</v>
      </c>
      <c r="D6" s="11">
        <f t="shared" si="0"/>
        <v>1050000</v>
      </c>
      <c r="E6" s="14">
        <v>-3700000</v>
      </c>
      <c r="G6" s="53" t="s">
        <v>27</v>
      </c>
      <c r="H6" s="51" t="s">
        <v>28</v>
      </c>
      <c r="I6" s="101">
        <v>25000000</v>
      </c>
      <c r="M6" s="186" t="s">
        <v>29</v>
      </c>
      <c r="N6" s="187"/>
      <c r="O6" s="187"/>
      <c r="P6" s="187"/>
      <c r="Q6" s="187"/>
      <c r="R6" s="192">
        <f>SUM(R3:R5)</f>
        <v>1660000</v>
      </c>
    </row>
    <row r="7" spans="1:18">
      <c r="A7" s="16" t="s">
        <v>30</v>
      </c>
      <c r="B7" s="10">
        <v>24</v>
      </c>
      <c r="C7" s="10">
        <v>26</v>
      </c>
      <c r="D7" s="11">
        <f t="shared" si="0"/>
        <v>1840000</v>
      </c>
      <c r="E7" s="14">
        <v>-9195000</v>
      </c>
      <c r="G7" s="53" t="s">
        <v>31</v>
      </c>
      <c r="H7" s="51" t="s">
        <v>32</v>
      </c>
      <c r="I7" s="101">
        <v>20000000</v>
      </c>
    </row>
    <row r="8" spans="1:18">
      <c r="A8" s="16" t="s">
        <v>33</v>
      </c>
      <c r="B8" s="17">
        <v>21</v>
      </c>
      <c r="C8" s="10">
        <v>8</v>
      </c>
      <c r="D8" s="11">
        <f t="shared" si="0"/>
        <v>1315000</v>
      </c>
      <c r="E8" s="14">
        <v>-3614000</v>
      </c>
      <c r="G8" s="53" t="s">
        <v>34</v>
      </c>
      <c r="H8" s="58" t="s">
        <v>35</v>
      </c>
      <c r="I8" s="101">
        <v>30000000</v>
      </c>
    </row>
    <row r="9" spans="1:18">
      <c r="A9" s="16" t="s">
        <v>36</v>
      </c>
      <c r="B9" s="17">
        <v>16</v>
      </c>
      <c r="C9" s="10">
        <v>28</v>
      </c>
      <c r="D9" s="11">
        <f t="shared" si="0"/>
        <v>1440000</v>
      </c>
      <c r="E9" s="14">
        <v>-8285000</v>
      </c>
      <c r="F9" t="s">
        <v>37</v>
      </c>
      <c r="G9" s="53"/>
      <c r="H9" s="51"/>
      <c r="I9" s="101"/>
    </row>
    <row r="10" spans="1:18">
      <c r="A10" s="16" t="s">
        <v>19</v>
      </c>
      <c r="B10" s="19">
        <v>20</v>
      </c>
      <c r="C10" s="10">
        <v>14</v>
      </c>
      <c r="D10" s="11">
        <f t="shared" si="0"/>
        <v>1380000</v>
      </c>
      <c r="E10" s="22">
        <v>-780000</v>
      </c>
      <c r="G10" s="53"/>
      <c r="H10" s="51"/>
      <c r="I10" s="101"/>
    </row>
    <row r="11" spans="1:18">
      <c r="A11" s="16" t="s">
        <v>38</v>
      </c>
      <c r="B11" s="10">
        <v>17</v>
      </c>
      <c r="C11" s="10">
        <v>20</v>
      </c>
      <c r="D11" s="11">
        <f t="shared" si="0"/>
        <v>1335000</v>
      </c>
      <c r="E11" s="14">
        <v>-5975000</v>
      </c>
      <c r="G11" s="53"/>
      <c r="H11" s="51"/>
      <c r="I11" s="156"/>
    </row>
    <row r="12" spans="1:18">
      <c r="A12" s="16" t="s">
        <v>19</v>
      </c>
      <c r="B12" s="10">
        <v>9</v>
      </c>
      <c r="C12" s="10">
        <v>5</v>
      </c>
      <c r="D12" s="11">
        <f t="shared" si="0"/>
        <v>595000</v>
      </c>
      <c r="E12" s="14">
        <v>-2820000</v>
      </c>
      <c r="G12" s="53"/>
      <c r="H12" s="51"/>
      <c r="I12" s="156"/>
    </row>
    <row r="13" spans="1:18">
      <c r="A13" s="9" t="s">
        <v>39</v>
      </c>
      <c r="B13" s="10">
        <v>18</v>
      </c>
      <c r="C13" s="10">
        <v>15</v>
      </c>
      <c r="D13" s="11">
        <f t="shared" si="0"/>
        <v>1290000</v>
      </c>
      <c r="E13" s="14">
        <v>-3830000</v>
      </c>
      <c r="G13" s="53"/>
      <c r="H13" s="51"/>
      <c r="I13" s="156"/>
    </row>
    <row r="14" spans="1:18">
      <c r="A14" s="16" t="s">
        <v>19</v>
      </c>
      <c r="B14" s="10">
        <v>12</v>
      </c>
      <c r="C14" s="10">
        <v>15</v>
      </c>
      <c r="D14" s="11">
        <f t="shared" si="0"/>
        <v>960000</v>
      </c>
      <c r="E14" s="24">
        <v>-3740000</v>
      </c>
      <c r="G14" s="157"/>
      <c r="H14" s="158" t="s">
        <v>29</v>
      </c>
      <c r="I14" s="159">
        <f>SUM(I3:I13)</f>
        <v>114700000</v>
      </c>
    </row>
    <row r="15" spans="1:18">
      <c r="A15" s="9" t="s">
        <v>31</v>
      </c>
      <c r="B15" s="10">
        <v>13</v>
      </c>
      <c r="C15" s="10">
        <v>19</v>
      </c>
      <c r="D15" s="11">
        <f t="shared" si="0"/>
        <v>1095000</v>
      </c>
      <c r="E15" s="14">
        <v>-3696000</v>
      </c>
    </row>
    <row r="16" spans="1:18">
      <c r="A16" s="15" t="s">
        <v>33</v>
      </c>
      <c r="B16" s="10">
        <v>9</v>
      </c>
      <c r="C16" s="10"/>
      <c r="D16" s="11">
        <f t="shared" si="0"/>
        <v>495000</v>
      </c>
      <c r="E16" s="14">
        <v>-1495000</v>
      </c>
    </row>
    <row r="17" spans="1:9">
      <c r="A17" s="15"/>
      <c r="B17" s="10"/>
      <c r="C17" s="10"/>
      <c r="D17" s="11">
        <f t="shared" si="0"/>
        <v>0</v>
      </c>
      <c r="E17" s="14"/>
    </row>
    <row r="18" spans="1:9">
      <c r="A18" s="16"/>
      <c r="B18" s="10"/>
      <c r="C18" s="10"/>
      <c r="D18" s="11">
        <f t="shared" si="0"/>
        <v>0</v>
      </c>
      <c r="E18" s="14"/>
    </row>
    <row r="19" spans="1:9">
      <c r="A19" s="10"/>
      <c r="B19" s="25"/>
      <c r="C19" s="10"/>
      <c r="D19" s="11">
        <f t="shared" si="0"/>
        <v>0</v>
      </c>
      <c r="E19" s="14"/>
    </row>
    <row r="20" spans="1:9" ht="25.8" customHeight="1">
      <c r="A20" s="16"/>
      <c r="B20" s="25"/>
      <c r="C20" s="10"/>
      <c r="D20" s="11">
        <f t="shared" si="0"/>
        <v>0</v>
      </c>
      <c r="E20" s="14"/>
    </row>
    <row r="21" spans="1:9" ht="22.35" customHeight="1">
      <c r="A21" s="16"/>
      <c r="B21" s="10"/>
      <c r="C21" s="10"/>
      <c r="D21" s="11">
        <f t="shared" si="0"/>
        <v>0</v>
      </c>
      <c r="E21" s="22"/>
    </row>
    <row r="22" spans="1:9">
      <c r="A22" s="10"/>
      <c r="B22" s="10"/>
      <c r="C22" s="10"/>
      <c r="D22" s="11">
        <f t="shared" si="0"/>
        <v>0</v>
      </c>
      <c r="E22" s="14"/>
    </row>
    <row r="23" spans="1:9">
      <c r="A23" s="27"/>
      <c r="B23" s="10"/>
      <c r="C23" s="10"/>
      <c r="D23" s="11">
        <f t="shared" si="0"/>
        <v>0</v>
      </c>
      <c r="E23" s="14"/>
    </row>
    <row r="24" spans="1:9">
      <c r="A24" s="28" t="s">
        <v>29</v>
      </c>
      <c r="B24" s="29">
        <f>SUM(B3:B23)</f>
        <v>217</v>
      </c>
      <c r="C24" s="29">
        <f>SUM(C3:C23)</f>
        <v>202</v>
      </c>
      <c r="D24" s="30">
        <f>SUM(D3:D23)</f>
        <v>15975000</v>
      </c>
      <c r="E24" s="32">
        <f>SUM(E3:E23)</f>
        <v>-62475000</v>
      </c>
    </row>
    <row r="25" spans="1:9">
      <c r="A25" s="33"/>
      <c r="B25" s="33"/>
      <c r="C25" s="33"/>
      <c r="D25" s="33"/>
      <c r="E25" s="34"/>
      <c r="F25" s="35"/>
      <c r="G25" s="33"/>
      <c r="H25" s="33"/>
      <c r="I25" s="99"/>
    </row>
    <row r="26" spans="1:9">
      <c r="A26" s="36"/>
      <c r="B26" s="37"/>
      <c r="C26" s="37"/>
      <c r="D26" s="37"/>
      <c r="E26" s="38"/>
      <c r="F26" s="205"/>
      <c r="G26" s="206"/>
      <c r="H26" s="37"/>
      <c r="I26" s="99"/>
    </row>
    <row r="27" spans="1:9">
      <c r="A27" s="10" t="s">
        <v>9</v>
      </c>
      <c r="B27" s="10" t="s">
        <v>40</v>
      </c>
      <c r="C27" s="10" t="s">
        <v>11</v>
      </c>
      <c r="D27" s="37"/>
      <c r="E27" s="37" t="s">
        <v>41</v>
      </c>
      <c r="F27" s="41">
        <f>SUM(D3:D23)</f>
        <v>15975000</v>
      </c>
      <c r="G27" s="37"/>
      <c r="H27" s="37"/>
      <c r="I27" s="99"/>
    </row>
    <row r="28" spans="1:9">
      <c r="A28" s="10" t="s">
        <v>17</v>
      </c>
      <c r="B28" s="10">
        <v>6</v>
      </c>
      <c r="C28" s="11">
        <f t="shared" ref="C28:C42" si="1">SUM(B28*50000)</f>
        <v>300000</v>
      </c>
      <c r="D28" s="37"/>
      <c r="E28" s="37" t="s">
        <v>42</v>
      </c>
      <c r="F28" s="233">
        <f>E24</f>
        <v>-62475000</v>
      </c>
    </row>
    <row r="29" spans="1:9">
      <c r="A29" s="43" t="s">
        <v>43</v>
      </c>
      <c r="B29" s="44">
        <v>6</v>
      </c>
      <c r="C29" s="11">
        <f t="shared" si="1"/>
        <v>300000</v>
      </c>
      <c r="D29" s="46"/>
      <c r="E29" s="46" t="s">
        <v>44</v>
      </c>
      <c r="F29" s="41">
        <f>I14</f>
        <v>114700000</v>
      </c>
    </row>
    <row r="30" spans="1:9">
      <c r="A30" s="43" t="s">
        <v>23</v>
      </c>
      <c r="B30" s="44">
        <v>6</v>
      </c>
      <c r="C30" s="11">
        <f t="shared" si="1"/>
        <v>300000</v>
      </c>
      <c r="D30" s="46"/>
      <c r="E30" s="46" t="s">
        <v>45</v>
      </c>
      <c r="F30" s="233">
        <v>-258000</v>
      </c>
    </row>
    <row r="31" spans="1:9">
      <c r="A31" s="43" t="s">
        <v>43</v>
      </c>
      <c r="B31" s="44">
        <v>6</v>
      </c>
      <c r="C31" s="11">
        <f t="shared" si="1"/>
        <v>300000</v>
      </c>
      <c r="D31" s="52"/>
      <c r="E31" s="46" t="s">
        <v>46</v>
      </c>
      <c r="F31" s="41">
        <f>C43</f>
        <v>3400000</v>
      </c>
    </row>
    <row r="32" spans="1:9">
      <c r="A32" s="43" t="s">
        <v>20</v>
      </c>
      <c r="B32" s="54">
        <v>8</v>
      </c>
      <c r="C32" s="11">
        <f t="shared" si="1"/>
        <v>400000</v>
      </c>
      <c r="D32" s="46"/>
      <c r="E32" s="46"/>
      <c r="F32" s="55"/>
    </row>
    <row r="33" spans="1:8">
      <c r="A33" s="51" t="s">
        <v>47</v>
      </c>
      <c r="B33" s="51">
        <v>8</v>
      </c>
      <c r="C33" s="11">
        <f t="shared" si="1"/>
        <v>400000</v>
      </c>
      <c r="D33" s="46"/>
      <c r="E33" s="46"/>
      <c r="F33" s="41"/>
    </row>
    <row r="34" spans="1:8">
      <c r="A34" s="43" t="s">
        <v>36</v>
      </c>
      <c r="B34" s="51">
        <v>12</v>
      </c>
      <c r="C34" s="11">
        <f t="shared" si="1"/>
        <v>600000</v>
      </c>
      <c r="D34" s="52"/>
      <c r="E34" s="46"/>
      <c r="F34" s="41"/>
    </row>
    <row r="35" spans="1:8">
      <c r="A35" s="43" t="s">
        <v>48</v>
      </c>
      <c r="B35" s="51">
        <v>12</v>
      </c>
      <c r="C35" s="11">
        <f t="shared" si="1"/>
        <v>600000</v>
      </c>
      <c r="D35" s="46"/>
      <c r="E35" s="57" t="s">
        <v>49</v>
      </c>
      <c r="F35" s="41">
        <f>H84</f>
        <v>11954000</v>
      </c>
    </row>
    <row r="36" spans="1:8">
      <c r="A36" s="51" t="s">
        <v>27</v>
      </c>
      <c r="B36" s="51">
        <v>2</v>
      </c>
      <c r="C36" s="11">
        <f t="shared" si="1"/>
        <v>100000</v>
      </c>
      <c r="D36" s="46"/>
      <c r="E36" s="46"/>
      <c r="F36" s="41"/>
    </row>
    <row r="37" spans="1:8" ht="24.6">
      <c r="A37" s="51" t="s">
        <v>48</v>
      </c>
      <c r="B37" s="51"/>
      <c r="C37" s="11">
        <f t="shared" si="1"/>
        <v>0</v>
      </c>
      <c r="D37" s="59" t="s">
        <v>50</v>
      </c>
      <c r="E37" s="59"/>
      <c r="F37" s="60">
        <f>SUM(F27+F28+F29+F30+F31+F32+F33-F35)</f>
        <v>59388000</v>
      </c>
    </row>
    <row r="38" spans="1:8" ht="24.6">
      <c r="A38" s="51" t="s">
        <v>39</v>
      </c>
      <c r="B38" s="51">
        <v>2</v>
      </c>
      <c r="C38" s="11">
        <f t="shared" si="1"/>
        <v>100000</v>
      </c>
      <c r="D38" s="46"/>
      <c r="E38" s="46"/>
      <c r="F38" s="61"/>
    </row>
    <row r="39" spans="1:8" ht="24.6">
      <c r="A39" s="146" t="s">
        <v>51</v>
      </c>
      <c r="B39" s="51"/>
      <c r="C39" s="11">
        <f t="shared" si="1"/>
        <v>0</v>
      </c>
      <c r="D39" s="46" t="s">
        <v>52</v>
      </c>
      <c r="E39" s="46" t="s">
        <v>53</v>
      </c>
      <c r="F39" s="61">
        <f>B105</f>
        <v>44915000</v>
      </c>
    </row>
    <row r="40" spans="1:8" ht="24.6">
      <c r="A40" s="51"/>
      <c r="B40" s="51"/>
      <c r="C40" s="11">
        <f t="shared" si="1"/>
        <v>0</v>
      </c>
      <c r="D40" s="46"/>
      <c r="E40" s="46"/>
      <c r="F40" s="61"/>
    </row>
    <row r="41" spans="1:8" ht="24.6">
      <c r="A41" s="51"/>
      <c r="B41" s="51"/>
      <c r="C41" s="11">
        <f t="shared" si="1"/>
        <v>0</v>
      </c>
      <c r="D41" s="207" t="s">
        <v>54</v>
      </c>
      <c r="E41" s="207"/>
      <c r="F41" s="62">
        <f>F37-F39</f>
        <v>14473000</v>
      </c>
    </row>
    <row r="42" spans="1:8">
      <c r="A42" s="51"/>
      <c r="B42" s="51"/>
      <c r="C42" s="11">
        <f t="shared" si="1"/>
        <v>0</v>
      </c>
      <c r="D42" s="46"/>
      <c r="E42" s="46"/>
      <c r="F42" s="46"/>
      <c r="G42" s="46"/>
      <c r="H42" s="46"/>
    </row>
    <row r="43" spans="1:8">
      <c r="A43" s="51" t="s">
        <v>29</v>
      </c>
      <c r="B43" s="51">
        <f>SUM(B28:B42)</f>
        <v>68</v>
      </c>
      <c r="C43" s="63">
        <f>SUM(C28:C42)</f>
        <v>3400000</v>
      </c>
      <c r="D43" s="46"/>
      <c r="E43" s="46"/>
      <c r="F43" s="46"/>
      <c r="G43" s="46"/>
      <c r="H43" s="46"/>
    </row>
    <row r="44" spans="1:8">
      <c r="A44" s="46"/>
      <c r="B44" s="46"/>
      <c r="C44" s="46"/>
      <c r="D44" s="46"/>
      <c r="E44" s="46"/>
      <c r="F44" s="46"/>
      <c r="G44" s="46"/>
      <c r="H44" s="46"/>
    </row>
    <row r="45" spans="1:8">
      <c r="A45" s="46"/>
      <c r="B45" s="46"/>
      <c r="C45" s="46"/>
      <c r="D45" s="46"/>
      <c r="E45" s="46"/>
      <c r="F45" s="46"/>
      <c r="G45" s="46"/>
      <c r="H45" s="46"/>
    </row>
    <row r="46" spans="1:8">
      <c r="A46" s="46"/>
      <c r="B46" s="46"/>
      <c r="C46" s="46"/>
      <c r="D46" s="46"/>
      <c r="E46" s="46"/>
      <c r="F46" s="46"/>
      <c r="G46" s="46"/>
      <c r="H46" s="46"/>
    </row>
    <row r="47" spans="1:8">
      <c r="A47" s="46"/>
      <c r="B47" s="46"/>
      <c r="C47" s="46"/>
      <c r="D47" s="46"/>
      <c r="E47" s="46"/>
      <c r="F47" s="46"/>
      <c r="G47" s="46"/>
      <c r="H47" s="39"/>
    </row>
    <row r="48" spans="1:8">
      <c r="A48" s="177"/>
      <c r="B48" s="46"/>
      <c r="C48" s="208"/>
      <c r="D48" s="208"/>
      <c r="E48" s="208"/>
      <c r="F48" s="208"/>
      <c r="G48" s="46"/>
      <c r="H48" s="178"/>
    </row>
    <row r="49" spans="1:8" ht="24.6">
      <c r="A49" s="209" t="s">
        <v>55</v>
      </c>
      <c r="B49" s="210"/>
      <c r="C49" s="210"/>
      <c r="D49" s="210"/>
      <c r="E49" s="209" t="s">
        <v>55</v>
      </c>
      <c r="F49" s="210"/>
      <c r="G49" s="210"/>
      <c r="H49" s="210"/>
    </row>
    <row r="50" spans="1:8">
      <c r="A50" s="66" t="s">
        <v>9</v>
      </c>
      <c r="B50" s="67" t="s">
        <v>56</v>
      </c>
      <c r="C50" s="67" t="s">
        <v>57</v>
      </c>
      <c r="D50" s="67" t="s">
        <v>29</v>
      </c>
      <c r="E50" s="66" t="s">
        <v>9</v>
      </c>
      <c r="F50" s="67" t="s">
        <v>56</v>
      </c>
      <c r="G50" s="67" t="s">
        <v>57</v>
      </c>
      <c r="H50" s="67" t="s">
        <v>29</v>
      </c>
    </row>
    <row r="51" spans="1:8" ht="21">
      <c r="A51" s="69" t="s">
        <v>17</v>
      </c>
      <c r="B51" s="10" t="s">
        <v>58</v>
      </c>
      <c r="C51" s="11">
        <v>1500000</v>
      </c>
      <c r="D51" s="11"/>
      <c r="E51" s="69"/>
      <c r="F51" s="10" t="s">
        <v>59</v>
      </c>
      <c r="G51" s="11"/>
      <c r="H51" s="11">
        <f>D84</f>
        <v>6891000</v>
      </c>
    </row>
    <row r="52" spans="1:8" ht="21">
      <c r="A52" s="71"/>
      <c r="B52" s="25" t="s">
        <v>60</v>
      </c>
      <c r="C52" s="23">
        <v>30000</v>
      </c>
      <c r="D52" s="72"/>
      <c r="E52" s="71" t="s">
        <v>39</v>
      </c>
      <c r="F52" s="25" t="s">
        <v>61</v>
      </c>
      <c r="G52" s="23">
        <v>50000</v>
      </c>
      <c r="H52" s="72"/>
    </row>
    <row r="53" spans="1:8" ht="21">
      <c r="A53" s="69"/>
      <c r="B53" s="10" t="s">
        <v>62</v>
      </c>
      <c r="C53" s="11">
        <v>15000</v>
      </c>
      <c r="D53" s="11"/>
      <c r="E53" s="69"/>
      <c r="F53" s="10" t="s">
        <v>63</v>
      </c>
      <c r="G53" s="11">
        <v>384000</v>
      </c>
      <c r="H53" s="11"/>
    </row>
    <row r="54" spans="1:8" ht="21">
      <c r="A54" s="69"/>
      <c r="B54" s="10"/>
      <c r="C54" s="11"/>
      <c r="D54" s="11"/>
      <c r="E54" s="69"/>
      <c r="F54" s="10"/>
      <c r="G54" s="11"/>
      <c r="H54" s="11"/>
    </row>
    <row r="55" spans="1:8" ht="21">
      <c r="A55" s="69"/>
      <c r="B55" s="74" t="s">
        <v>29</v>
      </c>
      <c r="C55" s="75">
        <f>SUM(C51:C54)</f>
        <v>1545000</v>
      </c>
      <c r="D55" s="11">
        <f>C55</f>
        <v>1545000</v>
      </c>
      <c r="E55" s="69"/>
      <c r="F55" s="74" t="s">
        <v>29</v>
      </c>
      <c r="G55" s="75">
        <f>SUM(G51:G54)</f>
        <v>434000</v>
      </c>
      <c r="H55" s="11">
        <f>G55</f>
        <v>434000</v>
      </c>
    </row>
    <row r="56" spans="1:8" ht="21">
      <c r="A56" s="76" t="s">
        <v>23</v>
      </c>
      <c r="B56" s="10" t="s">
        <v>64</v>
      </c>
      <c r="C56" s="11">
        <v>50000</v>
      </c>
      <c r="D56" s="11"/>
      <c r="E56" s="76" t="s">
        <v>31</v>
      </c>
      <c r="F56" s="10" t="s">
        <v>65</v>
      </c>
      <c r="G56" s="11">
        <v>4030000</v>
      </c>
      <c r="H56" s="11"/>
    </row>
    <row r="57" spans="1:8" ht="21">
      <c r="A57" s="69"/>
      <c r="B57" s="25" t="s">
        <v>66</v>
      </c>
      <c r="C57" s="11">
        <v>40000</v>
      </c>
      <c r="D57" s="20"/>
      <c r="E57" s="69"/>
      <c r="F57" s="25" t="s">
        <v>67</v>
      </c>
      <c r="G57" s="11">
        <v>200000</v>
      </c>
      <c r="H57" s="20"/>
    </row>
    <row r="58" spans="1:8" ht="21">
      <c r="A58" s="69"/>
      <c r="B58" s="10" t="s">
        <v>68</v>
      </c>
      <c r="C58" s="11">
        <v>250000</v>
      </c>
      <c r="D58" s="11"/>
      <c r="E58" s="69"/>
      <c r="F58" s="10" t="s">
        <v>69</v>
      </c>
      <c r="G58" s="11">
        <v>384000</v>
      </c>
      <c r="H58" s="11"/>
    </row>
    <row r="59" spans="1:8" ht="21">
      <c r="A59" s="69"/>
      <c r="B59" s="10" t="s">
        <v>70</v>
      </c>
      <c r="C59" s="11">
        <v>200000</v>
      </c>
      <c r="D59" s="11"/>
      <c r="E59" s="69"/>
      <c r="F59" s="10" t="s">
        <v>71</v>
      </c>
      <c r="G59" s="11">
        <v>15000</v>
      </c>
      <c r="H59" s="11"/>
    </row>
    <row r="60" spans="1:8" ht="21">
      <c r="A60" s="69" t="s">
        <v>72</v>
      </c>
      <c r="B60" s="10" t="s">
        <v>73</v>
      </c>
      <c r="C60" s="11">
        <v>1600000</v>
      </c>
      <c r="D60" s="11"/>
      <c r="E60" s="69"/>
      <c r="F60" s="10" t="s">
        <v>29</v>
      </c>
      <c r="G60" s="11">
        <f>SUM(G56:G59)</f>
        <v>4629000</v>
      </c>
      <c r="H60" s="11">
        <f>G60</f>
        <v>4629000</v>
      </c>
    </row>
    <row r="61" spans="1:8" ht="21">
      <c r="A61" s="69"/>
      <c r="B61" s="10" t="s">
        <v>74</v>
      </c>
      <c r="C61" s="11">
        <v>350000</v>
      </c>
      <c r="D61" s="11"/>
      <c r="E61" s="69"/>
      <c r="F61" s="10"/>
      <c r="G61" s="11"/>
      <c r="H61" s="11"/>
    </row>
    <row r="62" spans="1:8" ht="21">
      <c r="A62" s="69"/>
      <c r="B62" s="10" t="s">
        <v>75</v>
      </c>
      <c r="C62" s="11">
        <v>50000</v>
      </c>
      <c r="D62" s="11"/>
      <c r="E62" s="69"/>
      <c r="F62" s="10"/>
      <c r="G62" s="11"/>
      <c r="H62" s="11"/>
    </row>
    <row r="63" spans="1:8" ht="21">
      <c r="A63" s="69"/>
      <c r="B63" s="10" t="s">
        <v>76</v>
      </c>
      <c r="C63" s="11">
        <v>384000</v>
      </c>
      <c r="D63" s="11"/>
      <c r="E63" s="69"/>
      <c r="F63" s="10"/>
      <c r="G63" s="11"/>
      <c r="H63" s="11"/>
    </row>
    <row r="64" spans="1:8" ht="21">
      <c r="A64" s="69" t="s">
        <v>77</v>
      </c>
      <c r="B64" s="10" t="s">
        <v>78</v>
      </c>
      <c r="C64" s="11">
        <v>200000</v>
      </c>
      <c r="D64" s="11"/>
      <c r="E64" s="69"/>
      <c r="F64" s="10"/>
      <c r="G64" s="11"/>
      <c r="H64" s="11"/>
    </row>
    <row r="65" spans="1:8" ht="21">
      <c r="A65" s="69"/>
      <c r="B65" s="10"/>
      <c r="C65" s="11"/>
      <c r="D65" s="11"/>
      <c r="E65" s="69"/>
      <c r="F65" s="10"/>
      <c r="G65" s="11"/>
      <c r="H65" s="11"/>
    </row>
    <row r="66" spans="1:8" ht="21">
      <c r="A66" s="69"/>
      <c r="B66" s="10"/>
      <c r="C66" s="11"/>
      <c r="D66" s="11"/>
      <c r="E66" s="69"/>
      <c r="F66" s="10"/>
      <c r="G66" s="11"/>
      <c r="H66" s="11"/>
    </row>
    <row r="67" spans="1:8" ht="21">
      <c r="A67" s="69"/>
      <c r="B67" s="10" t="s">
        <v>29</v>
      </c>
      <c r="C67" s="11">
        <f>SUM(C56:C66)</f>
        <v>3124000</v>
      </c>
      <c r="D67" s="11">
        <f>C67</f>
        <v>3124000</v>
      </c>
      <c r="E67" s="69"/>
      <c r="F67" s="10"/>
      <c r="G67" s="11"/>
      <c r="H67" s="11"/>
    </row>
    <row r="68" spans="1:8" ht="21">
      <c r="A68" s="69" t="s">
        <v>36</v>
      </c>
      <c r="B68" s="10" t="s">
        <v>79</v>
      </c>
      <c r="C68" s="11">
        <v>100000</v>
      </c>
      <c r="D68" s="11"/>
      <c r="E68" s="69"/>
      <c r="F68" s="10"/>
      <c r="G68" s="11"/>
      <c r="H68" s="11"/>
    </row>
    <row r="69" spans="1:8" ht="21">
      <c r="A69" s="69"/>
      <c r="B69" s="10" t="s">
        <v>70</v>
      </c>
      <c r="C69" s="11">
        <v>200000</v>
      </c>
      <c r="D69" s="11"/>
      <c r="E69" s="69"/>
      <c r="F69" s="10"/>
      <c r="G69" s="11"/>
      <c r="H69" s="11"/>
    </row>
    <row r="70" spans="1:8" ht="21">
      <c r="A70" s="69"/>
      <c r="B70" s="10" t="s">
        <v>80</v>
      </c>
      <c r="C70" s="11">
        <v>20000</v>
      </c>
      <c r="D70" s="11"/>
      <c r="E70" s="69"/>
      <c r="F70" s="10"/>
      <c r="G70" s="11"/>
      <c r="H70" s="11"/>
    </row>
    <row r="71" spans="1:8" ht="21">
      <c r="A71" s="69"/>
      <c r="B71" s="10" t="s">
        <v>81</v>
      </c>
      <c r="C71" s="11">
        <v>384000</v>
      </c>
      <c r="D71" s="11"/>
      <c r="E71" s="69"/>
      <c r="F71" s="10"/>
      <c r="G71" s="11"/>
      <c r="H71" s="11"/>
    </row>
    <row r="72" spans="1:8" ht="21">
      <c r="A72" s="69"/>
      <c r="B72" s="10"/>
      <c r="C72" s="11"/>
      <c r="D72" s="11"/>
      <c r="E72" s="69"/>
      <c r="F72" s="10"/>
      <c r="G72" s="11"/>
      <c r="H72" s="11"/>
    </row>
    <row r="73" spans="1:8" ht="21">
      <c r="A73" s="69"/>
      <c r="B73" s="74" t="s">
        <v>29</v>
      </c>
      <c r="C73" s="75">
        <f>SUM(C68:C72)</f>
        <v>704000</v>
      </c>
      <c r="D73" s="11">
        <f>C73</f>
        <v>704000</v>
      </c>
      <c r="E73" s="69"/>
      <c r="F73" s="74" t="s">
        <v>29</v>
      </c>
      <c r="G73" s="75"/>
      <c r="H73" s="11">
        <f>G73</f>
        <v>0</v>
      </c>
    </row>
    <row r="74" spans="1:8" ht="21">
      <c r="A74" s="69" t="s">
        <v>27</v>
      </c>
      <c r="B74" s="10" t="s">
        <v>82</v>
      </c>
      <c r="C74" s="11">
        <v>400000</v>
      </c>
      <c r="D74" s="11">
        <f>C74</f>
        <v>400000</v>
      </c>
      <c r="E74" s="69"/>
      <c r="F74" s="10"/>
      <c r="G74" s="11"/>
      <c r="H74" s="11"/>
    </row>
    <row r="75" spans="1:8" ht="21">
      <c r="A75" s="69"/>
      <c r="B75" s="10"/>
      <c r="C75" s="11"/>
      <c r="D75" s="11"/>
      <c r="E75" s="69"/>
      <c r="F75" s="10"/>
      <c r="G75" s="11"/>
      <c r="H75" s="11"/>
    </row>
    <row r="76" spans="1:8" ht="21">
      <c r="A76" s="69"/>
      <c r="B76" s="10" t="s">
        <v>83</v>
      </c>
      <c r="C76" s="11"/>
      <c r="D76" s="11"/>
      <c r="E76" s="69"/>
      <c r="F76" s="10"/>
      <c r="G76" s="11"/>
      <c r="H76" s="11"/>
    </row>
    <row r="77" spans="1:8" ht="21">
      <c r="A77" s="69"/>
      <c r="B77" s="10" t="s">
        <v>84</v>
      </c>
      <c r="C77" s="11">
        <f>48*2*8000</f>
        <v>768000</v>
      </c>
      <c r="D77" s="11">
        <f>C77</f>
        <v>768000</v>
      </c>
      <c r="E77" s="69"/>
      <c r="F77" s="10"/>
      <c r="G77" s="11"/>
      <c r="H77" s="11"/>
    </row>
    <row r="78" spans="1:8" ht="21">
      <c r="A78" s="69"/>
      <c r="B78" s="10"/>
      <c r="C78" s="11"/>
      <c r="D78" s="11"/>
      <c r="E78" s="69"/>
      <c r="F78" s="10"/>
      <c r="G78" s="11"/>
      <c r="H78" s="11"/>
    </row>
    <row r="79" spans="1:8" ht="21">
      <c r="A79" s="69" t="s">
        <v>39</v>
      </c>
      <c r="B79" s="10" t="s">
        <v>85</v>
      </c>
      <c r="C79" s="11">
        <v>60000</v>
      </c>
      <c r="D79" s="11"/>
      <c r="E79" s="69"/>
      <c r="F79" s="10"/>
      <c r="G79" s="11"/>
      <c r="H79" s="11"/>
    </row>
    <row r="80" spans="1:8" ht="21">
      <c r="A80" s="69"/>
      <c r="B80" s="10" t="s">
        <v>86</v>
      </c>
      <c r="C80" s="11">
        <v>50000</v>
      </c>
      <c r="D80" s="11"/>
      <c r="E80" s="69"/>
      <c r="F80" s="10"/>
      <c r="G80" s="11"/>
      <c r="H80" s="11"/>
    </row>
    <row r="81" spans="1:8" ht="20.399999999999999">
      <c r="A81" s="147"/>
      <c r="B81" s="148" t="s">
        <v>87</v>
      </c>
      <c r="C81" s="149">
        <v>40000</v>
      </c>
      <c r="D81" s="149"/>
      <c r="E81" s="147"/>
      <c r="F81" s="148"/>
      <c r="G81" s="149"/>
      <c r="H81" s="149"/>
    </row>
    <row r="82" spans="1:8" ht="20.399999999999999">
      <c r="A82" s="147"/>
      <c r="B82" s="148" t="s">
        <v>88</v>
      </c>
      <c r="C82" s="149">
        <v>200000</v>
      </c>
      <c r="D82" s="149"/>
      <c r="E82" s="147"/>
      <c r="F82" s="148"/>
      <c r="G82" s="149"/>
      <c r="H82" s="149"/>
    </row>
    <row r="83" spans="1:8" ht="20.399999999999999">
      <c r="A83" s="147"/>
      <c r="B83" s="148" t="s">
        <v>29</v>
      </c>
      <c r="C83" s="149">
        <f>SUM(C79:C82)</f>
        <v>350000</v>
      </c>
      <c r="D83" s="149">
        <f>C83</f>
        <v>350000</v>
      </c>
      <c r="E83" s="147"/>
      <c r="F83" s="148" t="s">
        <v>29</v>
      </c>
      <c r="G83" s="149">
        <f>SUM(G74:G82)</f>
        <v>0</v>
      </c>
      <c r="H83" s="149"/>
    </row>
    <row r="84" spans="1:8" ht="21">
      <c r="A84" s="147"/>
      <c r="B84" s="25"/>
      <c r="C84" s="149"/>
      <c r="D84" s="149">
        <f>SUM(D53:D83)</f>
        <v>6891000</v>
      </c>
      <c r="E84" s="147"/>
      <c r="F84" s="25"/>
      <c r="G84" s="149"/>
      <c r="H84" s="149">
        <f>SUM(H51:H83)</f>
        <v>11954000</v>
      </c>
    </row>
    <row r="87" spans="1:8">
      <c r="A87" s="213" t="s">
        <v>89</v>
      </c>
      <c r="B87" s="213"/>
      <c r="C87" s="213"/>
    </row>
    <row r="88" spans="1:8">
      <c r="A88" s="213"/>
      <c r="B88" s="213"/>
      <c r="C88" s="213"/>
    </row>
    <row r="89" spans="1:8">
      <c r="A89" s="110" t="s">
        <v>9</v>
      </c>
      <c r="B89" s="110" t="s">
        <v>90</v>
      </c>
      <c r="C89" s="111" t="s">
        <v>91</v>
      </c>
    </row>
    <row r="90" spans="1:8">
      <c r="A90" s="110" t="s">
        <v>17</v>
      </c>
      <c r="B90" s="112">
        <f>C122</f>
        <v>5600000</v>
      </c>
      <c r="C90" s="113" t="s">
        <v>92</v>
      </c>
    </row>
    <row r="91" spans="1:8">
      <c r="A91" s="110" t="s">
        <v>23</v>
      </c>
      <c r="B91" s="112">
        <f>C146</f>
        <v>6010000</v>
      </c>
      <c r="C91" s="113" t="s">
        <v>92</v>
      </c>
    </row>
    <row r="92" spans="1:8">
      <c r="A92" s="110" t="s">
        <v>77</v>
      </c>
      <c r="B92" s="112">
        <f>C169</f>
        <v>8245000</v>
      </c>
      <c r="C92" s="113"/>
    </row>
    <row r="93" spans="1:8">
      <c r="A93" s="110" t="s">
        <v>36</v>
      </c>
      <c r="B93" s="112">
        <f>C189</f>
        <v>11870000</v>
      </c>
      <c r="C93" s="113"/>
    </row>
    <row r="94" spans="1:8">
      <c r="A94" s="110" t="s">
        <v>38</v>
      </c>
      <c r="B94" s="112">
        <f>C209</f>
        <v>2840000</v>
      </c>
      <c r="C94" s="113"/>
    </row>
    <row r="95" spans="1:8">
      <c r="A95" s="111" t="s">
        <v>39</v>
      </c>
      <c r="B95" s="112">
        <f>C227</f>
        <v>5970000</v>
      </c>
      <c r="C95" s="113"/>
    </row>
    <row r="96" spans="1:8">
      <c r="A96" s="110" t="s">
        <v>31</v>
      </c>
      <c r="B96" s="112">
        <f>C249</f>
        <v>4380000</v>
      </c>
      <c r="C96" s="113"/>
    </row>
    <row r="97" spans="1:4">
      <c r="A97" s="110"/>
      <c r="B97" s="112"/>
      <c r="C97" s="113"/>
      <c r="D97" s="151"/>
    </row>
    <row r="98" spans="1:4">
      <c r="A98" s="110"/>
      <c r="B98" s="112"/>
      <c r="C98" s="113"/>
      <c r="D98" s="151"/>
    </row>
    <row r="99" spans="1:4">
      <c r="A99" s="110"/>
      <c r="B99" s="112"/>
      <c r="C99" s="113"/>
      <c r="D99" s="151"/>
    </row>
    <row r="100" spans="1:4">
      <c r="A100" s="110"/>
      <c r="B100" s="112"/>
      <c r="C100" s="113"/>
      <c r="D100" s="151"/>
    </row>
    <row r="101" spans="1:4">
      <c r="A101" s="110"/>
      <c r="B101" s="112"/>
      <c r="C101" s="113"/>
      <c r="D101" s="151"/>
    </row>
    <row r="102" spans="1:4">
      <c r="A102" s="110"/>
      <c r="B102" s="112"/>
      <c r="C102" s="113"/>
      <c r="D102" s="151"/>
    </row>
    <row r="103" spans="1:4">
      <c r="A103" s="110"/>
      <c r="B103" s="112"/>
      <c r="C103" s="113"/>
      <c r="D103" s="151"/>
    </row>
    <row r="104" spans="1:4">
      <c r="A104" s="110"/>
      <c r="B104" s="112"/>
      <c r="C104" s="113"/>
      <c r="D104" s="151"/>
    </row>
    <row r="105" spans="1:4">
      <c r="A105" s="124" t="s">
        <v>50</v>
      </c>
      <c r="B105" s="125">
        <f>SUM(B90:B104)</f>
        <v>44915000</v>
      </c>
      <c r="C105" s="124"/>
      <c r="D105" s="151"/>
    </row>
    <row r="106" spans="1:4">
      <c r="B106" s="193"/>
      <c r="C106" s="151"/>
      <c r="D106" s="151"/>
    </row>
    <row r="107" spans="1:4">
      <c r="B107" s="193"/>
      <c r="C107" s="151"/>
      <c r="D107" s="151"/>
    </row>
    <row r="108" spans="1:4">
      <c r="A108" s="211" t="s">
        <v>93</v>
      </c>
      <c r="B108" s="211"/>
      <c r="C108" s="211"/>
      <c r="D108" s="151"/>
    </row>
    <row r="109" spans="1:4">
      <c r="A109" s="212"/>
      <c r="B109" s="212"/>
      <c r="C109" s="212"/>
      <c r="D109" s="151"/>
    </row>
    <row r="110" spans="1:4">
      <c r="A110" s="114" t="s">
        <v>94</v>
      </c>
      <c r="B110" s="115" t="s">
        <v>95</v>
      </c>
      <c r="C110" s="116" t="s">
        <v>96</v>
      </c>
    </row>
    <row r="111" spans="1:4">
      <c r="A111" s="117"/>
      <c r="B111" s="118" t="s">
        <v>97</v>
      </c>
      <c r="C111" s="119">
        <v>800000</v>
      </c>
      <c r="D111" s="150"/>
    </row>
    <row r="112" spans="1:4">
      <c r="A112" s="120"/>
      <c r="B112" s="111" t="s">
        <v>98</v>
      </c>
      <c r="C112" s="121">
        <v>800000</v>
      </c>
    </row>
    <row r="113" spans="1:3">
      <c r="A113" s="120"/>
      <c r="B113" s="111" t="s">
        <v>99</v>
      </c>
      <c r="C113" s="121">
        <v>2800000</v>
      </c>
    </row>
    <row r="114" spans="1:3">
      <c r="A114" s="120" t="s">
        <v>100</v>
      </c>
      <c r="B114" s="111" t="s">
        <v>101</v>
      </c>
      <c r="C114" s="121">
        <v>120000</v>
      </c>
    </row>
    <row r="115" spans="1:3">
      <c r="A115" s="120" t="s">
        <v>33</v>
      </c>
      <c r="B115" s="111"/>
      <c r="C115" s="121"/>
    </row>
    <row r="116" spans="1:3">
      <c r="A116" s="120"/>
      <c r="B116" s="111" t="s">
        <v>102</v>
      </c>
      <c r="C116" s="121">
        <v>600000</v>
      </c>
    </row>
    <row r="117" spans="1:3">
      <c r="A117" s="120"/>
      <c r="B117" s="111" t="s">
        <v>103</v>
      </c>
      <c r="C117" s="121">
        <v>480000</v>
      </c>
    </row>
    <row r="118" spans="1:3">
      <c r="A118" s="120"/>
      <c r="B118" s="111"/>
      <c r="C118" s="121"/>
    </row>
    <row r="119" spans="1:3">
      <c r="A119" s="120"/>
      <c r="B119" s="111"/>
      <c r="C119" s="121"/>
    </row>
    <row r="120" spans="1:3">
      <c r="A120" s="120"/>
      <c r="B120" s="111"/>
      <c r="C120" s="121"/>
    </row>
    <row r="121" spans="1:3">
      <c r="A121" s="120"/>
      <c r="B121" s="111"/>
      <c r="C121" s="121"/>
    </row>
    <row r="122" spans="1:3">
      <c r="A122" s="152" t="s">
        <v>29</v>
      </c>
      <c r="B122" s="153"/>
      <c r="C122" s="154">
        <f>SUM(C111:C121)</f>
        <v>5600000</v>
      </c>
    </row>
    <row r="124" spans="1:3">
      <c r="A124" s="194" t="s">
        <v>104</v>
      </c>
      <c r="B124" s="195" t="s">
        <v>105</v>
      </c>
      <c r="C124" s="195"/>
    </row>
    <row r="125" spans="1:3">
      <c r="A125" s="195"/>
      <c r="B125" s="195" t="s">
        <v>106</v>
      </c>
      <c r="C125" s="195"/>
    </row>
    <row r="126" spans="1:3">
      <c r="A126" s="195"/>
      <c r="B126" s="195" t="s">
        <v>107</v>
      </c>
      <c r="C126" s="195"/>
    </row>
    <row r="127" spans="1:3">
      <c r="A127" s="194" t="s">
        <v>19</v>
      </c>
      <c r="B127" s="195" t="s">
        <v>108</v>
      </c>
      <c r="C127" s="195"/>
    </row>
    <row r="128" spans="1:3">
      <c r="A128" s="195"/>
      <c r="B128" s="195" t="s">
        <v>109</v>
      </c>
      <c r="C128" s="195"/>
    </row>
    <row r="129" spans="1:3">
      <c r="A129" s="195"/>
      <c r="B129" s="195" t="s">
        <v>110</v>
      </c>
      <c r="C129" s="195"/>
    </row>
    <row r="130" spans="1:3">
      <c r="A130" s="195"/>
      <c r="B130" s="195"/>
      <c r="C130" s="195"/>
    </row>
    <row r="132" spans="1:3">
      <c r="A132" s="211" t="s">
        <v>111</v>
      </c>
      <c r="B132" s="211"/>
      <c r="C132" s="211"/>
    </row>
    <row r="133" spans="1:3">
      <c r="A133" s="212"/>
      <c r="B133" s="212"/>
      <c r="C133" s="212"/>
    </row>
    <row r="134" spans="1:3">
      <c r="A134" s="114" t="s">
        <v>94</v>
      </c>
      <c r="B134" s="115" t="s">
        <v>95</v>
      </c>
      <c r="C134" s="116" t="s">
        <v>96</v>
      </c>
    </row>
    <row r="135" spans="1:3">
      <c r="A135" s="117" t="s">
        <v>112</v>
      </c>
      <c r="B135" s="118" t="s">
        <v>113</v>
      </c>
      <c r="C135" s="119">
        <v>2700000</v>
      </c>
    </row>
    <row r="136" spans="1:3">
      <c r="A136" s="120" t="s">
        <v>114</v>
      </c>
      <c r="B136" s="111" t="s">
        <v>115</v>
      </c>
      <c r="C136" s="121">
        <v>110000</v>
      </c>
    </row>
    <row r="137" spans="1:3">
      <c r="A137" s="122" t="s">
        <v>116</v>
      </c>
      <c r="B137" s="111" t="s">
        <v>117</v>
      </c>
      <c r="C137" s="121">
        <v>110000</v>
      </c>
    </row>
    <row r="138" spans="1:3">
      <c r="A138" s="122" t="s">
        <v>118</v>
      </c>
      <c r="B138" s="111" t="s">
        <v>119</v>
      </c>
      <c r="C138" s="121">
        <v>320000</v>
      </c>
    </row>
    <row r="139" spans="1:3">
      <c r="A139" s="122" t="s">
        <v>120</v>
      </c>
      <c r="B139" s="111" t="s">
        <v>121</v>
      </c>
      <c r="C139" s="121">
        <v>360000</v>
      </c>
    </row>
    <row r="140" spans="1:3">
      <c r="A140" s="120" t="s">
        <v>122</v>
      </c>
      <c r="B140" s="111" t="s">
        <v>123</v>
      </c>
      <c r="C140" s="121">
        <v>200000</v>
      </c>
    </row>
    <row r="141" spans="1:3">
      <c r="A141" s="122" t="s">
        <v>124</v>
      </c>
      <c r="B141" s="111" t="s">
        <v>125</v>
      </c>
      <c r="C141" s="121">
        <v>480000</v>
      </c>
    </row>
    <row r="142" spans="1:3">
      <c r="A142" s="122"/>
      <c r="B142" s="111" t="s">
        <v>126</v>
      </c>
      <c r="C142" s="121">
        <v>650000</v>
      </c>
    </row>
    <row r="143" spans="1:3">
      <c r="A143" s="120"/>
      <c r="B143" s="111" t="s">
        <v>127</v>
      </c>
      <c r="C143" s="121">
        <v>600000</v>
      </c>
    </row>
    <row r="144" spans="1:3">
      <c r="A144" s="122"/>
      <c r="B144" s="111" t="s">
        <v>128</v>
      </c>
      <c r="C144" s="121">
        <v>480000</v>
      </c>
    </row>
    <row r="145" spans="1:3">
      <c r="A145" s="122"/>
      <c r="B145" s="111"/>
      <c r="C145" s="121"/>
    </row>
    <row r="146" spans="1:3">
      <c r="A146" s="126" t="s">
        <v>29</v>
      </c>
      <c r="B146" s="127"/>
      <c r="C146" s="172">
        <f>SUM(C135:C145)</f>
        <v>6010000</v>
      </c>
    </row>
    <row r="147" spans="1:3">
      <c r="A147" s="194" t="s">
        <v>129</v>
      </c>
      <c r="B147" s="195" t="s">
        <v>130</v>
      </c>
      <c r="C147" s="195"/>
    </row>
    <row r="148" spans="1:3">
      <c r="A148" s="195"/>
      <c r="B148" s="195" t="s">
        <v>131</v>
      </c>
      <c r="C148" s="195"/>
    </row>
    <row r="149" spans="1:3">
      <c r="A149" s="195"/>
      <c r="B149" s="195" t="s">
        <v>132</v>
      </c>
      <c r="C149" s="195"/>
    </row>
    <row r="150" spans="1:3">
      <c r="A150" s="195"/>
      <c r="B150" s="195" t="s">
        <v>133</v>
      </c>
      <c r="C150" s="195"/>
    </row>
    <row r="151" spans="1:3">
      <c r="A151" s="195"/>
      <c r="B151" s="195" t="s">
        <v>134</v>
      </c>
      <c r="C151" s="195"/>
    </row>
    <row r="152" spans="1:3">
      <c r="A152" s="195"/>
      <c r="B152" s="195" t="s">
        <v>135</v>
      </c>
      <c r="C152" s="195"/>
    </row>
    <row r="153" spans="1:3">
      <c r="A153" s="195"/>
      <c r="B153" s="195" t="s">
        <v>136</v>
      </c>
      <c r="C153" s="195"/>
    </row>
    <row r="154" spans="1:3">
      <c r="A154" s="195"/>
      <c r="B154" s="195" t="s">
        <v>137</v>
      </c>
      <c r="C154" s="195"/>
    </row>
    <row r="155" spans="1:3">
      <c r="A155" s="211" t="s">
        <v>138</v>
      </c>
      <c r="B155" s="211"/>
      <c r="C155" s="211"/>
    </row>
    <row r="156" spans="1:3">
      <c r="A156" s="212"/>
      <c r="B156" s="212"/>
      <c r="C156" s="212"/>
    </row>
    <row r="157" spans="1:3">
      <c r="A157" s="114" t="s">
        <v>94</v>
      </c>
      <c r="B157" s="115" t="s">
        <v>95</v>
      </c>
      <c r="C157" s="116" t="s">
        <v>96</v>
      </c>
    </row>
    <row r="158" spans="1:3">
      <c r="A158" s="117" t="s">
        <v>139</v>
      </c>
      <c r="B158" s="118" t="s">
        <v>140</v>
      </c>
      <c r="C158" s="119">
        <v>3600000</v>
      </c>
    </row>
    <row r="159" spans="1:3">
      <c r="A159" s="120"/>
      <c r="B159" s="111" t="s">
        <v>141</v>
      </c>
      <c r="C159" s="121">
        <v>1600000</v>
      </c>
    </row>
    <row r="160" spans="1:3">
      <c r="A160" s="122"/>
      <c r="B160" s="111" t="s">
        <v>142</v>
      </c>
      <c r="C160" s="121">
        <v>480000</v>
      </c>
    </row>
    <row r="161" spans="1:3">
      <c r="A161" s="122"/>
      <c r="B161" s="111" t="s">
        <v>143</v>
      </c>
      <c r="C161" s="121">
        <v>1750000</v>
      </c>
    </row>
    <row r="162" spans="1:3">
      <c r="A162" s="122"/>
      <c r="B162" s="111" t="s">
        <v>144</v>
      </c>
      <c r="C162" s="121">
        <v>800000</v>
      </c>
    </row>
    <row r="163" spans="1:3">
      <c r="A163" s="120"/>
      <c r="B163" s="111" t="s">
        <v>145</v>
      </c>
      <c r="C163" s="121">
        <v>15000</v>
      </c>
    </row>
    <row r="164" spans="1:3">
      <c r="A164" s="122"/>
      <c r="B164" s="111"/>
      <c r="C164" s="121"/>
    </row>
    <row r="165" spans="1:3">
      <c r="A165" s="122"/>
      <c r="B165" s="111"/>
      <c r="C165" s="121"/>
    </row>
    <row r="166" spans="1:3">
      <c r="A166" s="120"/>
      <c r="B166" s="111"/>
      <c r="C166" s="121"/>
    </row>
    <row r="167" spans="1:3">
      <c r="A167" s="122"/>
      <c r="B167" s="111"/>
      <c r="C167" s="121"/>
    </row>
    <row r="168" spans="1:3">
      <c r="A168" s="122"/>
      <c r="B168" s="111"/>
      <c r="C168" s="121"/>
    </row>
    <row r="169" spans="1:3">
      <c r="A169" s="126" t="s">
        <v>29</v>
      </c>
      <c r="B169" s="127"/>
      <c r="C169" s="172">
        <f>SUM(C158:C168)</f>
        <v>8245000</v>
      </c>
    </row>
    <row r="171" spans="1:3">
      <c r="A171" s="123" t="s">
        <v>146</v>
      </c>
    </row>
    <row r="172" spans="1:3">
      <c r="A172" s="123" t="s">
        <v>147</v>
      </c>
    </row>
    <row r="173" spans="1:3">
      <c r="A173" s="123" t="s">
        <v>148</v>
      </c>
    </row>
    <row r="174" spans="1:3">
      <c r="A174" s="123" t="s">
        <v>149</v>
      </c>
    </row>
    <row r="175" spans="1:3">
      <c r="A175" s="123" t="s">
        <v>150</v>
      </c>
    </row>
    <row r="176" spans="1:3">
      <c r="A176" s="211" t="s">
        <v>151</v>
      </c>
      <c r="B176" s="211"/>
      <c r="C176" s="211"/>
    </row>
    <row r="177" spans="1:3">
      <c r="A177" s="212"/>
      <c r="B177" s="212"/>
      <c r="C177" s="212"/>
    </row>
    <row r="178" spans="1:3">
      <c r="A178" s="114" t="s">
        <v>94</v>
      </c>
      <c r="B178" s="115" t="s">
        <v>95</v>
      </c>
      <c r="C178" s="116" t="s">
        <v>96</v>
      </c>
    </row>
    <row r="179" spans="1:3">
      <c r="A179" s="117" t="s">
        <v>152</v>
      </c>
      <c r="B179" s="118" t="s">
        <v>153</v>
      </c>
      <c r="C179" s="119">
        <v>600000</v>
      </c>
    </row>
    <row r="180" spans="1:3">
      <c r="A180" s="120" t="s">
        <v>154</v>
      </c>
      <c r="B180" s="111" t="s">
        <v>155</v>
      </c>
      <c r="C180" s="121">
        <v>2000000</v>
      </c>
    </row>
    <row r="181" spans="1:3">
      <c r="A181" s="122"/>
      <c r="B181" s="111" t="s">
        <v>156</v>
      </c>
      <c r="C181" s="121">
        <v>1200000</v>
      </c>
    </row>
    <row r="182" spans="1:3">
      <c r="A182" s="122"/>
      <c r="B182" s="111" t="s">
        <v>157</v>
      </c>
      <c r="C182" s="121">
        <v>6300000</v>
      </c>
    </row>
    <row r="183" spans="1:3">
      <c r="A183" s="122" t="s">
        <v>158</v>
      </c>
      <c r="B183" s="111" t="s">
        <v>159</v>
      </c>
      <c r="C183" s="121">
        <v>120000</v>
      </c>
    </row>
    <row r="184" spans="1:3">
      <c r="A184" s="120" t="s">
        <v>160</v>
      </c>
      <c r="B184" s="111" t="s">
        <v>161</v>
      </c>
      <c r="C184" s="121">
        <v>120000</v>
      </c>
    </row>
    <row r="185" spans="1:3">
      <c r="A185" s="122" t="s">
        <v>162</v>
      </c>
      <c r="B185" s="111" t="s">
        <v>163</v>
      </c>
      <c r="C185" s="121">
        <v>1000000</v>
      </c>
    </row>
    <row r="186" spans="1:3">
      <c r="A186" s="122" t="s">
        <v>164</v>
      </c>
      <c r="B186" s="111" t="s">
        <v>165</v>
      </c>
      <c r="C186" s="121">
        <v>170000</v>
      </c>
    </row>
    <row r="187" spans="1:3">
      <c r="A187" s="120" t="s">
        <v>166</v>
      </c>
      <c r="B187" s="111" t="s">
        <v>167</v>
      </c>
      <c r="C187" s="121">
        <v>120000</v>
      </c>
    </row>
    <row r="188" spans="1:3">
      <c r="A188" s="122" t="s">
        <v>168</v>
      </c>
      <c r="B188" s="111" t="s">
        <v>169</v>
      </c>
      <c r="C188" s="121">
        <v>240000</v>
      </c>
    </row>
    <row r="189" spans="1:3">
      <c r="A189" s="122" t="s">
        <v>29</v>
      </c>
      <c r="B189" s="111"/>
      <c r="C189" s="121">
        <f>SUM(C179:C188)</f>
        <v>11870000</v>
      </c>
    </row>
    <row r="190" spans="1:3">
      <c r="A190" s="123" t="s">
        <v>170</v>
      </c>
      <c r="B190" s="123" t="s">
        <v>19</v>
      </c>
      <c r="C190" s="123"/>
    </row>
    <row r="191" spans="1:3">
      <c r="A191" s="123" t="s">
        <v>171</v>
      </c>
      <c r="B191" s="123" t="s">
        <v>172</v>
      </c>
      <c r="C191" s="123"/>
    </row>
    <row r="192" spans="1:3">
      <c r="A192" s="123" t="s">
        <v>173</v>
      </c>
      <c r="B192" s="123" t="s">
        <v>174</v>
      </c>
      <c r="C192" s="123"/>
    </row>
    <row r="193" spans="1:3">
      <c r="A193" s="123" t="s">
        <v>175</v>
      </c>
      <c r="B193" s="123" t="s">
        <v>176</v>
      </c>
      <c r="C193" s="123"/>
    </row>
    <row r="194" spans="1:3">
      <c r="A194" s="123" t="s">
        <v>177</v>
      </c>
      <c r="B194" s="123" t="s">
        <v>178</v>
      </c>
      <c r="C194" s="123"/>
    </row>
    <row r="195" spans="1:3">
      <c r="A195" s="123" t="s">
        <v>179</v>
      </c>
      <c r="B195" s="123"/>
      <c r="C195" s="123"/>
    </row>
    <row r="196" spans="1:3">
      <c r="A196" s="211" t="s">
        <v>180</v>
      </c>
      <c r="B196" s="211"/>
      <c r="C196" s="211"/>
    </row>
    <row r="197" spans="1:3">
      <c r="A197" s="212"/>
      <c r="B197" s="212"/>
      <c r="C197" s="212"/>
    </row>
    <row r="198" spans="1:3">
      <c r="A198" s="114" t="s">
        <v>94</v>
      </c>
      <c r="B198" s="115" t="s">
        <v>95</v>
      </c>
      <c r="C198" s="116" t="s">
        <v>96</v>
      </c>
    </row>
    <row r="199" spans="1:3">
      <c r="A199" s="117" t="s">
        <v>181</v>
      </c>
      <c r="B199" s="118" t="s">
        <v>182</v>
      </c>
      <c r="C199" s="119">
        <v>240000</v>
      </c>
    </row>
    <row r="200" spans="1:3">
      <c r="A200" s="120" t="s">
        <v>116</v>
      </c>
      <c r="B200" s="111" t="s">
        <v>183</v>
      </c>
      <c r="C200" s="121">
        <v>120000</v>
      </c>
    </row>
    <row r="201" spans="1:3">
      <c r="A201" s="122" t="s">
        <v>184</v>
      </c>
      <c r="B201" s="111" t="s">
        <v>185</v>
      </c>
      <c r="C201" s="121">
        <v>1000000</v>
      </c>
    </row>
    <row r="202" spans="1:3">
      <c r="A202" s="122" t="s">
        <v>33</v>
      </c>
      <c r="B202" s="111"/>
      <c r="C202" s="121"/>
    </row>
    <row r="203" spans="1:3">
      <c r="A203" s="122"/>
      <c r="B203" s="111" t="s">
        <v>186</v>
      </c>
      <c r="C203" s="121">
        <v>360000</v>
      </c>
    </row>
    <row r="204" spans="1:3">
      <c r="A204" s="120"/>
      <c r="B204" s="111" t="s">
        <v>187</v>
      </c>
      <c r="C204" s="121">
        <v>120000</v>
      </c>
    </row>
    <row r="205" spans="1:3">
      <c r="A205" s="122"/>
      <c r="B205" s="111" t="s">
        <v>163</v>
      </c>
      <c r="C205" s="121">
        <v>1000000</v>
      </c>
    </row>
    <row r="206" spans="1:3">
      <c r="A206" s="122"/>
      <c r="B206" s="111"/>
      <c r="C206" s="121"/>
    </row>
    <row r="207" spans="1:3">
      <c r="A207" s="120"/>
      <c r="B207" s="111"/>
      <c r="C207" s="121"/>
    </row>
    <row r="208" spans="1:3">
      <c r="A208" s="122"/>
      <c r="B208" s="111"/>
      <c r="C208" s="121"/>
    </row>
    <row r="209" spans="1:3">
      <c r="A209" s="196" t="s">
        <v>29</v>
      </c>
      <c r="B209" s="153"/>
      <c r="C209" s="154">
        <f>SUM(C199:C208)</f>
        <v>2840000</v>
      </c>
    </row>
    <row r="210" spans="1:3">
      <c r="A210" s="123" t="s">
        <v>188</v>
      </c>
      <c r="B210" s="123" t="s">
        <v>189</v>
      </c>
      <c r="C210" s="123"/>
    </row>
    <row r="211" spans="1:3">
      <c r="A211" s="123" t="s">
        <v>190</v>
      </c>
      <c r="B211" s="123" t="s">
        <v>191</v>
      </c>
      <c r="C211" s="123"/>
    </row>
    <row r="212" spans="1:3">
      <c r="A212" s="123" t="s">
        <v>192</v>
      </c>
      <c r="B212" s="123"/>
      <c r="C212" s="123"/>
    </row>
    <row r="213" spans="1:3">
      <c r="A213" s="123" t="s">
        <v>193</v>
      </c>
      <c r="B213" s="123"/>
      <c r="C213" s="123"/>
    </row>
    <row r="214" spans="1:3">
      <c r="A214" s="211" t="s">
        <v>194</v>
      </c>
      <c r="B214" s="211"/>
      <c r="C214" s="211"/>
    </row>
    <row r="215" spans="1:3">
      <c r="A215" s="212"/>
      <c r="B215" s="212"/>
      <c r="C215" s="212"/>
    </row>
    <row r="216" spans="1:3">
      <c r="A216" s="114" t="s">
        <v>94</v>
      </c>
      <c r="B216" s="115" t="s">
        <v>95</v>
      </c>
      <c r="C216" s="116" t="s">
        <v>96</v>
      </c>
    </row>
    <row r="217" spans="1:3">
      <c r="A217" s="117" t="s">
        <v>195</v>
      </c>
      <c r="B217" s="118" t="s">
        <v>196</v>
      </c>
      <c r="C217" s="119">
        <v>180000</v>
      </c>
    </row>
    <row r="218" spans="1:3">
      <c r="A218" s="120" t="s">
        <v>197</v>
      </c>
      <c r="B218" s="111" t="s">
        <v>198</v>
      </c>
      <c r="C218" s="121">
        <v>200000</v>
      </c>
    </row>
    <row r="219" spans="1:3">
      <c r="A219" s="122" t="s">
        <v>199</v>
      </c>
      <c r="B219" s="111" t="s">
        <v>200</v>
      </c>
      <c r="C219" s="121">
        <v>1000000</v>
      </c>
    </row>
    <row r="220" spans="1:3">
      <c r="A220" s="122" t="s">
        <v>201</v>
      </c>
      <c r="B220" s="111" t="s">
        <v>202</v>
      </c>
      <c r="C220" s="121">
        <v>500000</v>
      </c>
    </row>
    <row r="221" spans="1:3">
      <c r="A221" s="122" t="s">
        <v>203</v>
      </c>
      <c r="B221" s="111" t="s">
        <v>204</v>
      </c>
      <c r="C221" s="121">
        <v>250000</v>
      </c>
    </row>
    <row r="222" spans="1:3">
      <c r="A222" s="120" t="s">
        <v>205</v>
      </c>
      <c r="B222" s="111" t="s">
        <v>169</v>
      </c>
      <c r="C222" s="121">
        <v>240000</v>
      </c>
    </row>
    <row r="223" spans="1:3">
      <c r="A223" s="122" t="s">
        <v>206</v>
      </c>
      <c r="B223" s="111" t="s">
        <v>207</v>
      </c>
      <c r="C223" s="121">
        <v>3600000</v>
      </c>
    </row>
    <row r="224" spans="1:3">
      <c r="A224" s="122"/>
      <c r="B224" s="111"/>
      <c r="C224" s="121"/>
    </row>
    <row r="225" spans="1:3">
      <c r="A225" s="120"/>
      <c r="B225" s="111"/>
      <c r="C225" s="121"/>
    </row>
    <row r="226" spans="1:3">
      <c r="A226" s="122"/>
      <c r="B226" s="111"/>
      <c r="C226" s="121"/>
    </row>
    <row r="227" spans="1:3">
      <c r="A227" s="122" t="s">
        <v>29</v>
      </c>
      <c r="B227" s="111"/>
      <c r="C227" s="121">
        <f>SUM(C217:C226)</f>
        <v>5970000</v>
      </c>
    </row>
    <row r="228" spans="1:3">
      <c r="A228" s="197" t="s">
        <v>208</v>
      </c>
      <c r="B228" s="123" t="s">
        <v>209</v>
      </c>
      <c r="C228" s="123"/>
    </row>
    <row r="229" spans="1:3">
      <c r="A229" s="123" t="s">
        <v>210</v>
      </c>
      <c r="B229" s="123" t="s">
        <v>211</v>
      </c>
      <c r="C229" s="123"/>
    </row>
    <row r="230" spans="1:3">
      <c r="A230" s="123" t="s">
        <v>212</v>
      </c>
      <c r="B230" s="123" t="s">
        <v>213</v>
      </c>
      <c r="C230" s="123"/>
    </row>
    <row r="231" spans="1:3">
      <c r="A231" s="123" t="s">
        <v>214</v>
      </c>
      <c r="B231" s="123" t="s">
        <v>215</v>
      </c>
      <c r="C231" s="123"/>
    </row>
    <row r="232" spans="1:3">
      <c r="A232" s="123" t="s">
        <v>216</v>
      </c>
      <c r="B232" s="123"/>
      <c r="C232" s="123"/>
    </row>
    <row r="233" spans="1:3">
      <c r="A233" s="123" t="s">
        <v>217</v>
      </c>
      <c r="B233" s="123"/>
      <c r="C233" s="123"/>
    </row>
    <row r="234" spans="1:3">
      <c r="A234" s="123" t="s">
        <v>218</v>
      </c>
      <c r="B234" s="123"/>
      <c r="C234" s="123"/>
    </row>
    <row r="235" spans="1:3">
      <c r="A235" s="123"/>
      <c r="B235" s="123"/>
      <c r="C235" s="123"/>
    </row>
    <row r="236" spans="1:3">
      <c r="A236" s="211" t="s">
        <v>219</v>
      </c>
      <c r="B236" s="211"/>
      <c r="C236" s="211"/>
    </row>
    <row r="237" spans="1:3">
      <c r="A237" s="212"/>
      <c r="B237" s="212"/>
      <c r="C237" s="212"/>
    </row>
    <row r="238" spans="1:3">
      <c r="A238" s="114" t="s">
        <v>94</v>
      </c>
      <c r="B238" s="115" t="s">
        <v>95</v>
      </c>
      <c r="C238" s="116" t="s">
        <v>96</v>
      </c>
    </row>
    <row r="239" spans="1:3">
      <c r="A239" s="117" t="s">
        <v>220</v>
      </c>
      <c r="B239" s="118" t="s">
        <v>221</v>
      </c>
      <c r="C239" s="119">
        <v>300000</v>
      </c>
    </row>
    <row r="240" spans="1:3">
      <c r="A240" s="120" t="s">
        <v>222</v>
      </c>
      <c r="B240" s="111" t="s">
        <v>223</v>
      </c>
      <c r="C240" s="121">
        <v>480000</v>
      </c>
    </row>
    <row r="241" spans="1:3">
      <c r="A241" s="122" t="s">
        <v>224</v>
      </c>
      <c r="B241" s="111" t="s">
        <v>225</v>
      </c>
      <c r="C241" s="121">
        <v>3600000</v>
      </c>
    </row>
    <row r="242" spans="1:3">
      <c r="A242" s="122" t="s">
        <v>226</v>
      </c>
      <c r="B242" s="111"/>
      <c r="C242" s="121"/>
    </row>
    <row r="243" spans="1:3">
      <c r="A243" s="122"/>
      <c r="B243" s="111"/>
      <c r="C243" s="121"/>
    </row>
    <row r="244" spans="1:3">
      <c r="A244" s="120"/>
      <c r="B244" s="111"/>
      <c r="C244" s="121"/>
    </row>
    <row r="245" spans="1:3">
      <c r="A245" s="122"/>
      <c r="B245" s="111"/>
      <c r="C245" s="121"/>
    </row>
    <row r="246" spans="1:3">
      <c r="A246" s="122"/>
      <c r="B246" s="111"/>
      <c r="C246" s="121"/>
    </row>
    <row r="247" spans="1:3">
      <c r="A247" s="120"/>
      <c r="B247" s="111"/>
      <c r="C247" s="121"/>
    </row>
    <row r="248" spans="1:3">
      <c r="A248" s="122"/>
      <c r="B248" s="111"/>
      <c r="C248" s="121"/>
    </row>
    <row r="249" spans="1:3">
      <c r="A249" s="196" t="s">
        <v>29</v>
      </c>
      <c r="B249" s="153"/>
      <c r="C249" s="154">
        <f>SUM(C239:C248)</f>
        <v>4380000</v>
      </c>
    </row>
    <row r="251" spans="1:3">
      <c r="A251" s="123" t="s">
        <v>227</v>
      </c>
      <c r="B251" s="123" t="s">
        <v>228</v>
      </c>
      <c r="C251" s="123"/>
    </row>
    <row r="252" spans="1:3">
      <c r="A252" s="123" t="s">
        <v>229</v>
      </c>
      <c r="B252" s="123" t="s">
        <v>230</v>
      </c>
      <c r="C252" s="123"/>
    </row>
    <row r="253" spans="1:3">
      <c r="A253" s="123" t="s">
        <v>231</v>
      </c>
      <c r="B253" s="123" t="s">
        <v>232</v>
      </c>
      <c r="C253" s="123"/>
    </row>
    <row r="254" spans="1:3">
      <c r="A254" s="123" t="s">
        <v>233</v>
      </c>
      <c r="B254" s="123" t="s">
        <v>228</v>
      </c>
      <c r="C254" s="123"/>
    </row>
  </sheetData>
  <mergeCells count="16">
    <mergeCell ref="A196:C197"/>
    <mergeCell ref="A155:C156"/>
    <mergeCell ref="A214:C215"/>
    <mergeCell ref="A236:C237"/>
    <mergeCell ref="A87:C88"/>
    <mergeCell ref="C48:F48"/>
    <mergeCell ref="A49:D49"/>
    <mergeCell ref="E49:H49"/>
    <mergeCell ref="A176:C177"/>
    <mergeCell ref="A132:C133"/>
    <mergeCell ref="A108:C109"/>
    <mergeCell ref="A1:D1"/>
    <mergeCell ref="G1:I1"/>
    <mergeCell ref="M1:R1"/>
    <mergeCell ref="F26:G26"/>
    <mergeCell ref="D41:E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82"/>
  <sheetViews>
    <sheetView topLeftCell="A28" zoomScale="34" zoomScaleNormal="34" workbookViewId="0">
      <selection sqref="A1:H95"/>
    </sheetView>
  </sheetViews>
  <sheetFormatPr defaultColWidth="10" defaultRowHeight="17.399999999999999"/>
  <cols>
    <col min="1" max="1" width="20.296875" customWidth="1"/>
    <col min="2" max="2" width="24.796875" style="140" customWidth="1"/>
    <col min="3" max="3" width="38.69921875" style="97" customWidth="1"/>
    <col min="4" max="4" width="19.09765625" customWidth="1"/>
    <col min="5" max="5" width="24.09765625" customWidth="1"/>
    <col min="6" max="6" width="29.19921875" customWidth="1"/>
    <col min="7" max="7" width="19.19921875" customWidth="1"/>
    <col min="8" max="8" width="29.69921875" customWidth="1"/>
    <col min="9" max="9" width="17.59765625" customWidth="1"/>
    <col min="10" max="10" width="21.796875" customWidth="1"/>
    <col min="11" max="11" width="40.69921875" customWidth="1"/>
    <col min="12" max="12" width="22.19921875" customWidth="1"/>
    <col min="17" max="17" width="16.19921875" customWidth="1"/>
    <col min="20" max="20" width="13.69921875" style="97" customWidth="1"/>
    <col min="21" max="21" width="12" customWidth="1"/>
    <col min="22" max="22" width="12.69921875" customWidth="1"/>
    <col min="23" max="23" width="13.296875" customWidth="1"/>
    <col min="24" max="24" width="12.5" customWidth="1"/>
    <col min="25" max="25" width="19.09765625" style="123" customWidth="1"/>
  </cols>
  <sheetData>
    <row r="1" spans="1:22" ht="53.25" customHeight="1">
      <c r="A1" s="145"/>
      <c r="B1" s="198" t="s">
        <v>41</v>
      </c>
      <c r="C1" s="198"/>
      <c r="D1" s="198"/>
      <c r="E1" s="145" t="s">
        <v>1</v>
      </c>
      <c r="F1" s="214" t="s">
        <v>234</v>
      </c>
      <c r="G1" s="215"/>
      <c r="H1" s="215"/>
      <c r="R1" s="216" t="s">
        <v>235</v>
      </c>
      <c r="S1" s="216"/>
      <c r="T1" s="216"/>
      <c r="U1" s="216"/>
      <c r="V1" s="216"/>
    </row>
    <row r="2" spans="1:22" ht="22.8">
      <c r="A2" s="7" t="s">
        <v>4</v>
      </c>
      <c r="B2" s="7" t="s">
        <v>5</v>
      </c>
      <c r="C2" s="7" t="s">
        <v>6</v>
      </c>
      <c r="D2" s="7" t="s">
        <v>7</v>
      </c>
      <c r="E2" s="7" t="s">
        <v>236</v>
      </c>
      <c r="F2" s="8" t="s">
        <v>237</v>
      </c>
      <c r="G2" s="7" t="s">
        <v>6</v>
      </c>
      <c r="H2" s="7" t="s">
        <v>7</v>
      </c>
      <c r="J2" s="199" t="s">
        <v>238</v>
      </c>
      <c r="K2" s="200"/>
      <c r="L2" s="201"/>
      <c r="R2" s="160" t="s">
        <v>9</v>
      </c>
      <c r="S2" s="161" t="s">
        <v>94</v>
      </c>
      <c r="T2" s="162" t="s">
        <v>239</v>
      </c>
      <c r="U2" s="162" t="s">
        <v>240</v>
      </c>
      <c r="V2" s="163" t="s">
        <v>241</v>
      </c>
    </row>
    <row r="3" spans="1:22" ht="22.8">
      <c r="A3" s="9" t="s">
        <v>242</v>
      </c>
      <c r="B3" s="10"/>
      <c r="C3" s="10"/>
      <c r="D3" s="11">
        <f t="shared" ref="D3:D23" si="0">SUM((B3*55000)+(C3*20000))</f>
        <v>0</v>
      </c>
      <c r="E3" s="12"/>
      <c r="F3" s="13">
        <v>13</v>
      </c>
      <c r="G3" s="14">
        <v>11</v>
      </c>
      <c r="H3" s="11">
        <f t="shared" ref="H3:H23" si="1">SUM((F3*55000)+(G3*20000))</f>
        <v>935000</v>
      </c>
      <c r="J3" s="47" t="s">
        <v>9</v>
      </c>
      <c r="K3" s="48" t="s">
        <v>10</v>
      </c>
      <c r="L3" s="100" t="s">
        <v>11</v>
      </c>
      <c r="R3" s="164" t="s">
        <v>17</v>
      </c>
      <c r="S3" s="165" t="s">
        <v>243</v>
      </c>
      <c r="T3" s="166" t="s">
        <v>244</v>
      </c>
      <c r="U3" s="165"/>
      <c r="V3" s="167" t="s">
        <v>245</v>
      </c>
    </row>
    <row r="4" spans="1:22" ht="22.8">
      <c r="A4" s="15" t="s">
        <v>246</v>
      </c>
      <c r="B4" s="10">
        <v>18</v>
      </c>
      <c r="C4" s="10">
        <v>7</v>
      </c>
      <c r="D4" s="11">
        <f t="shared" si="0"/>
        <v>1130000</v>
      </c>
      <c r="E4" s="11">
        <v>500000</v>
      </c>
      <c r="F4" s="13">
        <v>2</v>
      </c>
      <c r="G4" s="14">
        <v>5</v>
      </c>
      <c r="H4" s="11">
        <f t="shared" si="1"/>
        <v>210000</v>
      </c>
      <c r="J4" s="50"/>
      <c r="K4" s="51"/>
      <c r="L4" s="101"/>
      <c r="R4" s="164"/>
      <c r="S4" s="165" t="s">
        <v>247</v>
      </c>
      <c r="T4" s="166" t="s">
        <v>248</v>
      </c>
      <c r="U4" s="165"/>
      <c r="V4" s="167" t="s">
        <v>245</v>
      </c>
    </row>
    <row r="5" spans="1:22" ht="22.8">
      <c r="A5" s="16" t="s">
        <v>249</v>
      </c>
      <c r="B5" s="10">
        <v>10</v>
      </c>
      <c r="C5" s="10">
        <v>3</v>
      </c>
      <c r="D5" s="11">
        <f t="shared" si="0"/>
        <v>610000</v>
      </c>
      <c r="E5" s="11">
        <v>-3185000</v>
      </c>
      <c r="F5" s="13">
        <v>7</v>
      </c>
      <c r="G5" s="14">
        <v>1</v>
      </c>
      <c r="H5" s="11">
        <f t="shared" si="1"/>
        <v>405000</v>
      </c>
      <c r="J5" s="53" t="s">
        <v>250</v>
      </c>
      <c r="K5" s="51" t="s">
        <v>251</v>
      </c>
      <c r="L5" s="101">
        <v>20000000</v>
      </c>
      <c r="R5" s="164"/>
      <c r="S5" s="165" t="s">
        <v>252</v>
      </c>
      <c r="T5" s="166" t="s">
        <v>253</v>
      </c>
      <c r="U5" s="165"/>
      <c r="V5" s="167" t="s">
        <v>245</v>
      </c>
    </row>
    <row r="6" spans="1:22" ht="22.8">
      <c r="A6" s="16" t="s">
        <v>254</v>
      </c>
      <c r="B6" s="10">
        <v>20</v>
      </c>
      <c r="C6" s="10">
        <v>6</v>
      </c>
      <c r="D6" s="11">
        <f t="shared" si="0"/>
        <v>1220000</v>
      </c>
      <c r="E6" s="11">
        <v>1920000</v>
      </c>
      <c r="F6" s="13">
        <v>14</v>
      </c>
      <c r="G6" s="14">
        <v>3</v>
      </c>
      <c r="H6" s="11">
        <f t="shared" si="1"/>
        <v>830000</v>
      </c>
      <c r="J6" s="56" t="s">
        <v>255</v>
      </c>
      <c r="K6" s="51" t="s">
        <v>256</v>
      </c>
      <c r="L6" s="101">
        <v>1300000</v>
      </c>
      <c r="R6" s="164" t="s">
        <v>23</v>
      </c>
      <c r="S6" s="165" t="s">
        <v>257</v>
      </c>
      <c r="T6" s="166" t="s">
        <v>258</v>
      </c>
      <c r="U6" s="165"/>
      <c r="V6" s="167" t="s">
        <v>245</v>
      </c>
    </row>
    <row r="7" spans="1:22" ht="22.8">
      <c r="A7" s="16" t="s">
        <v>33</v>
      </c>
      <c r="B7" s="10">
        <v>5</v>
      </c>
      <c r="C7" s="10">
        <v>12</v>
      </c>
      <c r="D7" s="11">
        <f t="shared" si="0"/>
        <v>515000</v>
      </c>
      <c r="E7" s="11">
        <v>-3985000</v>
      </c>
      <c r="F7" s="13"/>
      <c r="G7" s="14"/>
      <c r="H7" s="11">
        <f t="shared" si="1"/>
        <v>0</v>
      </c>
      <c r="J7" s="53" t="s">
        <v>259</v>
      </c>
      <c r="K7" s="51" t="s">
        <v>260</v>
      </c>
      <c r="L7" s="101">
        <v>19800000</v>
      </c>
      <c r="R7" s="164"/>
      <c r="S7" s="165" t="s">
        <v>261</v>
      </c>
      <c r="T7" s="166" t="s">
        <v>262</v>
      </c>
      <c r="U7" s="165"/>
      <c r="V7" s="167" t="s">
        <v>245</v>
      </c>
    </row>
    <row r="8" spans="1:22" ht="22.8">
      <c r="A8" s="16" t="s">
        <v>250</v>
      </c>
      <c r="B8" s="10">
        <v>25</v>
      </c>
      <c r="C8" s="10">
        <v>21</v>
      </c>
      <c r="D8" s="11">
        <f t="shared" si="0"/>
        <v>1795000</v>
      </c>
      <c r="E8" s="11">
        <v>610000</v>
      </c>
      <c r="F8" s="13"/>
      <c r="G8" s="14"/>
      <c r="H8" s="11">
        <f t="shared" si="1"/>
        <v>0</v>
      </c>
      <c r="J8" s="53"/>
      <c r="K8" s="51"/>
      <c r="L8" s="101"/>
      <c r="R8" s="164"/>
      <c r="S8" s="165" t="s">
        <v>195</v>
      </c>
      <c r="T8" s="166" t="s">
        <v>263</v>
      </c>
      <c r="U8" s="165"/>
      <c r="V8" s="167" t="s">
        <v>245</v>
      </c>
    </row>
    <row r="9" spans="1:22" ht="22.8">
      <c r="A9" s="16" t="s">
        <v>19</v>
      </c>
      <c r="B9" s="17">
        <v>9</v>
      </c>
      <c r="C9" s="10">
        <v>8</v>
      </c>
      <c r="D9" s="11">
        <f t="shared" si="0"/>
        <v>655000</v>
      </c>
      <c r="E9" s="11">
        <v>-3035000</v>
      </c>
      <c r="F9" s="18"/>
      <c r="G9" s="14"/>
      <c r="H9" s="11">
        <f t="shared" si="1"/>
        <v>0</v>
      </c>
      <c r="J9" s="53"/>
      <c r="K9" s="58"/>
      <c r="L9" s="101"/>
      <c r="R9" s="164"/>
      <c r="S9" s="165" t="s">
        <v>257</v>
      </c>
      <c r="T9" s="166" t="s">
        <v>258</v>
      </c>
      <c r="U9" s="165"/>
      <c r="V9" s="167" t="s">
        <v>245</v>
      </c>
    </row>
    <row r="10" spans="1:22" ht="22.8">
      <c r="A10" s="16" t="s">
        <v>264</v>
      </c>
      <c r="B10" s="19">
        <v>20</v>
      </c>
      <c r="C10" s="10">
        <v>24</v>
      </c>
      <c r="D10" s="11">
        <f t="shared" si="0"/>
        <v>1580000</v>
      </c>
      <c r="E10" s="20">
        <v>-4160000</v>
      </c>
      <c r="F10" s="21"/>
      <c r="G10" s="22"/>
      <c r="H10" s="11">
        <f t="shared" si="1"/>
        <v>0</v>
      </c>
      <c r="J10" s="53"/>
      <c r="K10" s="51"/>
      <c r="L10" s="101"/>
      <c r="R10" s="164"/>
      <c r="S10" s="165" t="s">
        <v>243</v>
      </c>
      <c r="T10" s="166" t="s">
        <v>244</v>
      </c>
      <c r="U10" s="165"/>
      <c r="V10" s="167" t="s">
        <v>245</v>
      </c>
    </row>
    <row r="11" spans="1:22" ht="22.8">
      <c r="A11" s="16" t="s">
        <v>33</v>
      </c>
      <c r="B11" s="10">
        <v>6</v>
      </c>
      <c r="C11" s="10">
        <v>9</v>
      </c>
      <c r="D11" s="11">
        <f t="shared" si="0"/>
        <v>510000</v>
      </c>
      <c r="E11" s="11">
        <v>-3825000</v>
      </c>
      <c r="F11" s="18"/>
      <c r="G11" s="14"/>
      <c r="H11" s="11">
        <f t="shared" si="1"/>
        <v>0</v>
      </c>
      <c r="J11" s="53"/>
      <c r="K11" s="51"/>
      <c r="L11" s="101"/>
      <c r="R11" s="164" t="s">
        <v>36</v>
      </c>
      <c r="S11" s="165" t="s">
        <v>195</v>
      </c>
      <c r="T11" s="166" t="s">
        <v>263</v>
      </c>
      <c r="U11" s="165"/>
      <c r="V11" s="167" t="s">
        <v>245</v>
      </c>
    </row>
    <row r="12" spans="1:22" ht="22.8">
      <c r="A12" s="16" t="s">
        <v>265</v>
      </c>
      <c r="B12" s="10">
        <v>10</v>
      </c>
      <c r="C12" s="10">
        <v>32</v>
      </c>
      <c r="D12" s="11">
        <f t="shared" si="0"/>
        <v>1190000</v>
      </c>
      <c r="E12" s="11">
        <v>-3975000</v>
      </c>
      <c r="F12" s="13"/>
      <c r="G12" s="14"/>
      <c r="H12" s="11">
        <f t="shared" si="1"/>
        <v>0</v>
      </c>
      <c r="J12" s="53"/>
      <c r="K12" s="51"/>
      <c r="L12" s="156"/>
      <c r="R12" s="164"/>
      <c r="S12" s="165" t="s">
        <v>243</v>
      </c>
      <c r="T12" s="166" t="s">
        <v>244</v>
      </c>
      <c r="U12" s="165"/>
      <c r="V12" s="167" t="s">
        <v>245</v>
      </c>
    </row>
    <row r="13" spans="1:22" ht="22.8">
      <c r="A13" s="9" t="s">
        <v>33</v>
      </c>
      <c r="B13" s="10">
        <v>9</v>
      </c>
      <c r="C13" s="10">
        <v>10</v>
      </c>
      <c r="D13" s="11">
        <f t="shared" si="0"/>
        <v>695000</v>
      </c>
      <c r="E13" s="11">
        <v>-4495000</v>
      </c>
      <c r="F13" s="13"/>
      <c r="G13" s="14"/>
      <c r="H13" s="11">
        <f t="shared" si="1"/>
        <v>0</v>
      </c>
      <c r="J13" s="53"/>
      <c r="K13" s="51"/>
      <c r="L13" s="156"/>
      <c r="R13" s="164"/>
      <c r="S13" s="165"/>
      <c r="T13" s="166"/>
      <c r="U13" s="165"/>
      <c r="V13" s="168"/>
    </row>
    <row r="14" spans="1:22" ht="22.8">
      <c r="A14" s="16" t="s">
        <v>266</v>
      </c>
      <c r="B14" s="10">
        <v>20</v>
      </c>
      <c r="C14" s="10">
        <v>17</v>
      </c>
      <c r="D14" s="11">
        <f t="shared" si="0"/>
        <v>1440000</v>
      </c>
      <c r="E14" s="23">
        <v>-7200000</v>
      </c>
      <c r="F14" s="18"/>
      <c r="G14" s="24"/>
      <c r="H14" s="11">
        <f t="shared" si="1"/>
        <v>0</v>
      </c>
      <c r="J14" s="53"/>
      <c r="K14" s="51"/>
      <c r="L14" s="156"/>
      <c r="R14" s="217" t="s">
        <v>267</v>
      </c>
      <c r="S14" s="217"/>
      <c r="T14" s="217"/>
      <c r="U14" s="169"/>
      <c r="V14" s="170" t="s">
        <v>268</v>
      </c>
    </row>
    <row r="15" spans="1:22" ht="22.8">
      <c r="A15" s="9" t="s">
        <v>19</v>
      </c>
      <c r="B15" s="10"/>
      <c r="C15" s="10"/>
      <c r="D15" s="11">
        <f t="shared" si="0"/>
        <v>0</v>
      </c>
      <c r="E15" s="11"/>
      <c r="F15" s="13"/>
      <c r="G15" s="14"/>
      <c r="H15" s="11">
        <f t="shared" si="1"/>
        <v>0</v>
      </c>
      <c r="J15" s="157"/>
      <c r="K15" s="158" t="s">
        <v>29</v>
      </c>
      <c r="L15" s="159">
        <f>SUM(L4:L14)</f>
        <v>41100000</v>
      </c>
    </row>
    <row r="16" spans="1:22" ht="22.8">
      <c r="A16" s="15"/>
      <c r="B16" s="10"/>
      <c r="C16" s="10"/>
      <c r="D16" s="11">
        <f t="shared" si="0"/>
        <v>0</v>
      </c>
      <c r="E16" s="11"/>
      <c r="F16" s="13"/>
      <c r="G16" s="14"/>
      <c r="H16" s="11">
        <f t="shared" si="1"/>
        <v>0</v>
      </c>
      <c r="S16" t="s">
        <v>29</v>
      </c>
      <c r="T16" s="97" t="s">
        <v>269</v>
      </c>
      <c r="U16" t="s">
        <v>270</v>
      </c>
      <c r="V16" s="171">
        <f>10*250000</f>
        <v>2500000</v>
      </c>
    </row>
    <row r="17" spans="1:8" ht="22.8">
      <c r="A17" s="15"/>
      <c r="B17" s="10"/>
      <c r="C17" s="10"/>
      <c r="D17" s="11">
        <f t="shared" si="0"/>
        <v>0</v>
      </c>
      <c r="E17" s="11"/>
      <c r="F17" s="13"/>
      <c r="G17" s="14"/>
      <c r="H17" s="11">
        <f t="shared" si="1"/>
        <v>0</v>
      </c>
    </row>
    <row r="18" spans="1:8" ht="22.8">
      <c r="A18" s="16"/>
      <c r="B18" s="10"/>
      <c r="C18" s="10"/>
      <c r="D18" s="11">
        <f t="shared" si="0"/>
        <v>0</v>
      </c>
      <c r="E18" s="11"/>
      <c r="F18" s="13"/>
      <c r="G18" s="14"/>
      <c r="H18" s="11">
        <f t="shared" si="1"/>
        <v>0</v>
      </c>
    </row>
    <row r="19" spans="1:8" ht="22.8">
      <c r="A19" s="10"/>
      <c r="B19" s="25"/>
      <c r="C19" s="10"/>
      <c r="D19" s="11">
        <f t="shared" si="0"/>
        <v>0</v>
      </c>
      <c r="E19" s="11"/>
      <c r="F19" s="13"/>
      <c r="G19" s="14"/>
      <c r="H19" s="11">
        <f t="shared" si="1"/>
        <v>0</v>
      </c>
    </row>
    <row r="20" spans="1:8" ht="22.8">
      <c r="A20" s="16"/>
      <c r="B20" s="25"/>
      <c r="C20" s="10"/>
      <c r="D20" s="11">
        <f t="shared" si="0"/>
        <v>0</v>
      </c>
      <c r="E20" s="11"/>
      <c r="F20" s="18"/>
      <c r="G20" s="14"/>
      <c r="H20" s="11">
        <f t="shared" si="1"/>
        <v>0</v>
      </c>
    </row>
    <row r="21" spans="1:8" ht="22.8">
      <c r="A21" s="16"/>
      <c r="B21" s="10"/>
      <c r="C21" s="10"/>
      <c r="D21" s="11">
        <f t="shared" si="0"/>
        <v>0</v>
      </c>
      <c r="E21" s="20"/>
      <c r="F21" s="26"/>
      <c r="G21" s="22"/>
      <c r="H21" s="11">
        <f t="shared" si="1"/>
        <v>0</v>
      </c>
    </row>
    <row r="22" spans="1:8" ht="22.8">
      <c r="A22" s="10"/>
      <c r="B22" s="10"/>
      <c r="C22" s="10"/>
      <c r="D22" s="11">
        <f t="shared" si="0"/>
        <v>0</v>
      </c>
      <c r="E22" s="11"/>
      <c r="F22" s="13"/>
      <c r="G22" s="14"/>
      <c r="H22" s="11">
        <f t="shared" si="1"/>
        <v>0</v>
      </c>
    </row>
    <row r="23" spans="1:8" ht="22.8">
      <c r="A23" s="27"/>
      <c r="B23" s="10"/>
      <c r="C23" s="10"/>
      <c r="D23" s="11">
        <f t="shared" si="0"/>
        <v>0</v>
      </c>
      <c r="E23" s="11"/>
      <c r="F23" s="13"/>
      <c r="G23" s="14"/>
      <c r="H23" s="11">
        <f t="shared" si="1"/>
        <v>0</v>
      </c>
    </row>
    <row r="24" spans="1:8" ht="22.8">
      <c r="A24" s="28" t="s">
        <v>29</v>
      </c>
      <c r="B24" s="29">
        <f t="shared" ref="B24:H24" si="2">SUM(B3:B23)</f>
        <v>152</v>
      </c>
      <c r="C24" s="29">
        <f t="shared" si="2"/>
        <v>149</v>
      </c>
      <c r="D24" s="30">
        <f t="shared" si="2"/>
        <v>11340000</v>
      </c>
      <c r="E24" s="30">
        <f t="shared" si="2"/>
        <v>-30830000</v>
      </c>
      <c r="F24" s="31">
        <f t="shared" si="2"/>
        <v>36</v>
      </c>
      <c r="G24" s="32">
        <f t="shared" si="2"/>
        <v>20</v>
      </c>
      <c r="H24" s="30">
        <f t="shared" si="2"/>
        <v>2380000</v>
      </c>
    </row>
    <row r="27" spans="1:8" ht="22.8">
      <c r="A27" s="10" t="s">
        <v>9</v>
      </c>
      <c r="B27" s="10" t="s">
        <v>40</v>
      </c>
      <c r="C27" s="10" t="s">
        <v>11</v>
      </c>
      <c r="D27" s="40"/>
      <c r="E27" s="37" t="s">
        <v>41</v>
      </c>
      <c r="F27" s="41">
        <f>SUM(D3:D23)</f>
        <v>11340000</v>
      </c>
    </row>
    <row r="28" spans="1:8" ht="22.8">
      <c r="A28" s="10" t="s">
        <v>271</v>
      </c>
      <c r="B28" s="10">
        <v>4</v>
      </c>
      <c r="C28" s="11">
        <f t="shared" ref="C28:C42" si="3">SUM(B28*50000)</f>
        <v>200000</v>
      </c>
      <c r="D28" s="42"/>
      <c r="E28" s="37" t="s">
        <v>272</v>
      </c>
      <c r="F28" s="41">
        <f>SUM(H3:H23)</f>
        <v>2380000</v>
      </c>
    </row>
    <row r="29" spans="1:8" ht="22.8">
      <c r="A29" s="43" t="s">
        <v>273</v>
      </c>
      <c r="B29" s="44">
        <v>4</v>
      </c>
      <c r="C29" s="11">
        <f t="shared" si="3"/>
        <v>200000</v>
      </c>
      <c r="D29" s="45"/>
      <c r="E29" s="46" t="s">
        <v>274</v>
      </c>
      <c r="F29" s="41">
        <f>SUM(E3:E23)</f>
        <v>-30830000</v>
      </c>
    </row>
    <row r="30" spans="1:8" ht="22.8">
      <c r="A30" s="43" t="s">
        <v>275</v>
      </c>
      <c r="B30" s="44">
        <v>4</v>
      </c>
      <c r="C30" s="11">
        <f t="shared" si="3"/>
        <v>200000</v>
      </c>
      <c r="D30" s="46"/>
      <c r="E30" s="46"/>
      <c r="F30" s="41">
        <f>SUM(I3:I23)</f>
        <v>0</v>
      </c>
    </row>
    <row r="31" spans="1:8" ht="30.45" customHeight="1">
      <c r="A31" s="43" t="s">
        <v>43</v>
      </c>
      <c r="B31" s="44">
        <v>4</v>
      </c>
      <c r="C31" s="11">
        <f t="shared" si="3"/>
        <v>200000</v>
      </c>
      <c r="D31" s="52"/>
      <c r="E31" s="46" t="s">
        <v>46</v>
      </c>
      <c r="F31" s="41">
        <f>C43</f>
        <v>1800000</v>
      </c>
    </row>
    <row r="32" spans="1:8" ht="22.8">
      <c r="A32" s="43" t="s">
        <v>250</v>
      </c>
      <c r="B32" s="54">
        <v>6</v>
      </c>
      <c r="C32" s="11">
        <f t="shared" si="3"/>
        <v>300000</v>
      </c>
      <c r="D32" s="46"/>
      <c r="E32" s="46" t="s">
        <v>44</v>
      </c>
      <c r="F32" s="55">
        <f>L15</f>
        <v>41100000</v>
      </c>
    </row>
    <row r="33" spans="1:8" ht="22.8">
      <c r="A33" s="51" t="s">
        <v>273</v>
      </c>
      <c r="B33" s="51">
        <v>6</v>
      </c>
      <c r="C33" s="11">
        <f t="shared" si="3"/>
        <v>300000</v>
      </c>
      <c r="D33" s="46"/>
      <c r="E33" s="46" t="s">
        <v>276</v>
      </c>
      <c r="F33" s="41">
        <v>144000</v>
      </c>
    </row>
    <row r="34" spans="1:8" ht="22.8">
      <c r="A34" s="43" t="s">
        <v>277</v>
      </c>
      <c r="B34" s="51">
        <v>2</v>
      </c>
      <c r="C34" s="11">
        <f t="shared" si="3"/>
        <v>100000</v>
      </c>
      <c r="D34" s="52"/>
      <c r="E34" s="46"/>
      <c r="F34" s="41"/>
    </row>
    <row r="35" spans="1:8" ht="22.8">
      <c r="A35" s="43" t="s">
        <v>43</v>
      </c>
      <c r="B35" s="51">
        <v>2</v>
      </c>
      <c r="C35" s="11">
        <f t="shared" si="3"/>
        <v>100000</v>
      </c>
      <c r="D35" s="46"/>
      <c r="E35" s="57" t="s">
        <v>49</v>
      </c>
      <c r="F35" s="41">
        <f>H72</f>
        <v>4624000</v>
      </c>
    </row>
    <row r="36" spans="1:8" ht="22.8">
      <c r="A36" s="51" t="s">
        <v>278</v>
      </c>
      <c r="B36" s="51">
        <v>2</v>
      </c>
      <c r="C36" s="11">
        <f t="shared" si="3"/>
        <v>100000</v>
      </c>
      <c r="D36" s="46"/>
      <c r="E36" s="46"/>
      <c r="F36" s="41"/>
    </row>
    <row r="37" spans="1:8" ht="24.6">
      <c r="A37" s="51" t="s">
        <v>43</v>
      </c>
      <c r="B37" s="51">
        <v>2</v>
      </c>
      <c r="C37" s="11">
        <f t="shared" si="3"/>
        <v>100000</v>
      </c>
      <c r="D37" s="59" t="s">
        <v>50</v>
      </c>
      <c r="E37" s="59"/>
      <c r="F37" s="60">
        <f>F27+F28+F29+F30+F31+F32+F34+F33-F35</f>
        <v>21310000</v>
      </c>
    </row>
    <row r="38" spans="1:8" ht="24.6">
      <c r="A38" s="51"/>
      <c r="B38" s="51"/>
      <c r="C38" s="11">
        <f t="shared" si="3"/>
        <v>0</v>
      </c>
      <c r="D38" s="46"/>
      <c r="E38" s="46"/>
      <c r="F38" s="61"/>
    </row>
    <row r="39" spans="1:8" ht="24.6">
      <c r="A39" s="155"/>
      <c r="B39" s="51"/>
      <c r="C39" s="11">
        <f t="shared" si="3"/>
        <v>0</v>
      </c>
      <c r="D39" s="46" t="s">
        <v>52</v>
      </c>
      <c r="E39" s="46" t="s">
        <v>53</v>
      </c>
      <c r="F39" s="61">
        <f>B94</f>
        <v>41568000</v>
      </c>
    </row>
    <row r="40" spans="1:8" ht="24.6">
      <c r="A40" s="51"/>
      <c r="B40" s="51"/>
      <c r="C40" s="11">
        <f t="shared" si="3"/>
        <v>0</v>
      </c>
      <c r="D40" s="46"/>
      <c r="E40" s="46"/>
      <c r="F40" s="61"/>
    </row>
    <row r="41" spans="1:8" ht="24.6">
      <c r="A41" s="51"/>
      <c r="B41" s="51"/>
      <c r="C41" s="11">
        <f t="shared" si="3"/>
        <v>0</v>
      </c>
      <c r="D41" s="207" t="s">
        <v>54</v>
      </c>
      <c r="E41" s="207"/>
      <c r="F41" s="62">
        <f>F37-F39</f>
        <v>-20258000</v>
      </c>
    </row>
    <row r="42" spans="1:8" ht="22.8">
      <c r="A42" s="51"/>
      <c r="B42" s="51"/>
      <c r="C42" s="11">
        <f t="shared" si="3"/>
        <v>0</v>
      </c>
    </row>
    <row r="43" spans="1:8" ht="22.8">
      <c r="A43" s="51" t="s">
        <v>29</v>
      </c>
      <c r="B43" s="51">
        <f>SUM(B28:B42)</f>
        <v>36</v>
      </c>
      <c r="C43" s="63">
        <f>SUM(C28:C42)</f>
        <v>1800000</v>
      </c>
    </row>
    <row r="46" spans="1:8" ht="24.6">
      <c r="A46" s="209" t="s">
        <v>55</v>
      </c>
      <c r="B46" s="210"/>
      <c r="C46" s="210"/>
      <c r="D46" s="210"/>
      <c r="E46" s="209" t="s">
        <v>55</v>
      </c>
      <c r="F46" s="210"/>
      <c r="G46" s="210"/>
      <c r="H46" s="210"/>
    </row>
    <row r="47" spans="1:8" ht="22.8">
      <c r="A47" s="66" t="s">
        <v>9</v>
      </c>
      <c r="B47" s="67" t="s">
        <v>56</v>
      </c>
      <c r="C47" s="67" t="s">
        <v>57</v>
      </c>
      <c r="D47" s="67" t="s">
        <v>29</v>
      </c>
      <c r="E47" s="66" t="s">
        <v>9</v>
      </c>
      <c r="F47" s="67" t="s">
        <v>56</v>
      </c>
      <c r="G47" s="67" t="s">
        <v>57</v>
      </c>
      <c r="H47" s="67" t="s">
        <v>29</v>
      </c>
    </row>
    <row r="48" spans="1:8" ht="21">
      <c r="A48" s="69" t="s">
        <v>279</v>
      </c>
      <c r="B48" s="10" t="s">
        <v>280</v>
      </c>
      <c r="C48" s="11">
        <v>15000</v>
      </c>
      <c r="D48" s="11"/>
      <c r="E48" s="69"/>
      <c r="F48" s="10" t="s">
        <v>281</v>
      </c>
      <c r="G48" s="11"/>
      <c r="H48" s="11">
        <f>D72</f>
        <v>2966000</v>
      </c>
    </row>
    <row r="49" spans="1:8" ht="21">
      <c r="A49" s="71"/>
      <c r="B49" s="25" t="s">
        <v>282</v>
      </c>
      <c r="C49" s="23">
        <v>14000</v>
      </c>
      <c r="D49" s="72"/>
      <c r="E49" s="71" t="s">
        <v>283</v>
      </c>
      <c r="F49" s="25" t="s">
        <v>284</v>
      </c>
      <c r="G49" s="23">
        <v>384000</v>
      </c>
      <c r="H49" s="72"/>
    </row>
    <row r="50" spans="1:8" ht="21">
      <c r="A50" s="69"/>
      <c r="B50" s="10" t="s">
        <v>285</v>
      </c>
      <c r="C50" s="11">
        <v>16000</v>
      </c>
      <c r="D50" s="11"/>
      <c r="E50" s="69"/>
      <c r="F50" s="10" t="s">
        <v>61</v>
      </c>
      <c r="G50" s="11">
        <v>50000</v>
      </c>
      <c r="H50" s="11"/>
    </row>
    <row r="51" spans="1:8" ht="21">
      <c r="A51" s="69"/>
      <c r="B51" s="10"/>
      <c r="C51" s="11"/>
      <c r="D51" s="11"/>
      <c r="E51" s="69"/>
      <c r="F51" s="10"/>
      <c r="G51" s="11"/>
      <c r="H51" s="11"/>
    </row>
    <row r="52" spans="1:8" ht="21">
      <c r="A52" s="69"/>
      <c r="B52" s="74" t="s">
        <v>29</v>
      </c>
      <c r="C52" s="75">
        <f>SUM(C48:C51)</f>
        <v>45000</v>
      </c>
      <c r="D52" s="11">
        <f>C52</f>
        <v>45000</v>
      </c>
      <c r="E52" s="69"/>
      <c r="F52" s="74" t="s">
        <v>29</v>
      </c>
      <c r="G52" s="75">
        <f>SUM(G48:G51)</f>
        <v>434000</v>
      </c>
      <c r="H52" s="11">
        <f>G52</f>
        <v>434000</v>
      </c>
    </row>
    <row r="53" spans="1:8" ht="21">
      <c r="A53" s="76" t="s">
        <v>286</v>
      </c>
      <c r="B53" s="10" t="s">
        <v>86</v>
      </c>
      <c r="C53" s="11">
        <v>50000</v>
      </c>
      <c r="D53" s="11"/>
      <c r="E53" s="76" t="s">
        <v>287</v>
      </c>
      <c r="F53" s="10" t="s">
        <v>288</v>
      </c>
      <c r="G53" s="11">
        <v>50000</v>
      </c>
      <c r="H53" s="11"/>
    </row>
    <row r="54" spans="1:8" ht="21">
      <c r="A54" s="69" t="s">
        <v>289</v>
      </c>
      <c r="B54" s="25" t="s">
        <v>290</v>
      </c>
      <c r="C54" s="11">
        <v>40000</v>
      </c>
      <c r="D54" s="20"/>
      <c r="E54" s="69"/>
      <c r="F54" s="25" t="s">
        <v>291</v>
      </c>
      <c r="G54" s="11">
        <v>40000</v>
      </c>
      <c r="H54" s="20"/>
    </row>
    <row r="55" spans="1:8" ht="21">
      <c r="A55" s="69"/>
      <c r="B55" s="10" t="s">
        <v>292</v>
      </c>
      <c r="C55" s="11">
        <v>440000</v>
      </c>
      <c r="D55" s="11"/>
      <c r="E55" s="69"/>
      <c r="F55" s="10" t="s">
        <v>293</v>
      </c>
      <c r="G55" s="11">
        <v>60000</v>
      </c>
      <c r="H55" s="11"/>
    </row>
    <row r="56" spans="1:8" ht="21">
      <c r="A56" s="69"/>
      <c r="B56" s="10" t="s">
        <v>294</v>
      </c>
      <c r="C56" s="11">
        <v>70000</v>
      </c>
      <c r="D56" s="11"/>
      <c r="E56" s="69"/>
      <c r="F56" s="10" t="s">
        <v>295</v>
      </c>
      <c r="G56" s="11">
        <v>40000</v>
      </c>
      <c r="H56" s="11"/>
    </row>
    <row r="57" spans="1:8" ht="21">
      <c r="A57" s="69" t="s">
        <v>296</v>
      </c>
      <c r="B57" s="10" t="s">
        <v>297</v>
      </c>
      <c r="C57" s="11">
        <f>96*8000</f>
        <v>768000</v>
      </c>
      <c r="D57" s="11"/>
      <c r="E57" s="69"/>
      <c r="F57" s="10" t="s">
        <v>298</v>
      </c>
      <c r="G57" s="11">
        <v>384000</v>
      </c>
      <c r="H57" s="11"/>
    </row>
    <row r="58" spans="1:8" ht="21">
      <c r="A58" s="69"/>
      <c r="B58" s="10" t="s">
        <v>299</v>
      </c>
      <c r="C58" s="11">
        <v>15000</v>
      </c>
      <c r="D58" s="11"/>
      <c r="E58" s="69"/>
      <c r="F58" s="10" t="s">
        <v>86</v>
      </c>
      <c r="G58" s="11">
        <v>50000</v>
      </c>
      <c r="H58" s="11"/>
    </row>
    <row r="59" spans="1:8" ht="21">
      <c r="A59" s="69"/>
      <c r="B59" s="10" t="s">
        <v>300</v>
      </c>
      <c r="C59" s="11">
        <v>20000</v>
      </c>
      <c r="D59" s="11"/>
      <c r="E59" s="69"/>
      <c r="F59" s="10" t="s">
        <v>301</v>
      </c>
      <c r="G59" s="11">
        <v>480000</v>
      </c>
      <c r="H59" s="11"/>
    </row>
    <row r="60" spans="1:8" ht="21">
      <c r="A60" s="69"/>
      <c r="B60" s="10" t="s">
        <v>61</v>
      </c>
      <c r="C60" s="11">
        <v>50000</v>
      </c>
      <c r="D60" s="11"/>
      <c r="E60" s="69"/>
      <c r="F60" s="10" t="s">
        <v>302</v>
      </c>
      <c r="G60" s="11">
        <v>120000</v>
      </c>
      <c r="H60" s="11"/>
    </row>
    <row r="61" spans="1:8" ht="21">
      <c r="A61" s="69"/>
      <c r="B61" s="74" t="s">
        <v>29</v>
      </c>
      <c r="C61" s="75">
        <f>SUM(C53:C60)</f>
        <v>1453000</v>
      </c>
      <c r="D61" s="75">
        <f>C61</f>
        <v>1453000</v>
      </c>
      <c r="E61" s="69"/>
      <c r="F61" s="74" t="s">
        <v>29</v>
      </c>
      <c r="G61" s="75">
        <f>SUM(G53:G60)</f>
        <v>1224000</v>
      </c>
      <c r="H61" s="75">
        <f>G61</f>
        <v>1224000</v>
      </c>
    </row>
    <row r="62" spans="1:8" ht="21">
      <c r="A62" s="69" t="s">
        <v>250</v>
      </c>
      <c r="B62" s="10" t="s">
        <v>303</v>
      </c>
      <c r="C62" s="75">
        <v>500000</v>
      </c>
      <c r="D62" s="75">
        <f>C62</f>
        <v>500000</v>
      </c>
      <c r="E62" s="69"/>
      <c r="F62" s="10"/>
      <c r="G62" s="11"/>
      <c r="H62" s="11"/>
    </row>
    <row r="63" spans="1:8" ht="21">
      <c r="A63" s="69" t="s">
        <v>277</v>
      </c>
      <c r="B63" s="10" t="s">
        <v>304</v>
      </c>
      <c r="C63" s="11">
        <v>23000</v>
      </c>
      <c r="D63" s="11"/>
      <c r="E63" s="69"/>
      <c r="F63" s="10" t="s">
        <v>305</v>
      </c>
      <c r="G63" s="11"/>
      <c r="H63" s="11"/>
    </row>
    <row r="64" spans="1:8" ht="21">
      <c r="A64" s="69"/>
      <c r="B64" s="10" t="s">
        <v>64</v>
      </c>
      <c r="C64" s="11">
        <v>50000</v>
      </c>
      <c r="D64" s="11"/>
      <c r="E64" s="69"/>
      <c r="F64" s="10"/>
      <c r="G64" s="11"/>
      <c r="H64" s="11"/>
    </row>
    <row r="65" spans="1:8" ht="21">
      <c r="A65" s="69"/>
      <c r="B65" s="10" t="s">
        <v>306</v>
      </c>
      <c r="C65" s="11">
        <v>500000</v>
      </c>
      <c r="D65" s="11"/>
      <c r="E65" s="69"/>
      <c r="F65" s="10"/>
      <c r="G65" s="11"/>
      <c r="H65" s="11"/>
    </row>
    <row r="66" spans="1:8" ht="21">
      <c r="A66" s="69"/>
      <c r="B66" s="10" t="s">
        <v>307</v>
      </c>
      <c r="C66" s="11">
        <v>85000</v>
      </c>
      <c r="D66" s="11"/>
      <c r="E66" s="69"/>
      <c r="F66" s="10"/>
      <c r="G66" s="11"/>
      <c r="H66" s="11"/>
    </row>
    <row r="67" spans="1:8" ht="21">
      <c r="A67" s="69"/>
      <c r="B67" s="10" t="s">
        <v>308</v>
      </c>
      <c r="C67" s="11">
        <v>240000</v>
      </c>
      <c r="D67" s="11"/>
      <c r="E67" s="69"/>
      <c r="F67" s="10"/>
      <c r="G67" s="11"/>
      <c r="H67" s="11"/>
    </row>
    <row r="68" spans="1:8" ht="21">
      <c r="A68" s="69"/>
      <c r="B68" s="10" t="s">
        <v>309</v>
      </c>
      <c r="C68" s="11">
        <v>40000</v>
      </c>
      <c r="D68" s="11"/>
      <c r="E68" s="69"/>
      <c r="F68" s="10"/>
      <c r="G68" s="11"/>
      <c r="H68" s="11"/>
    </row>
    <row r="69" spans="1:8" ht="21">
      <c r="A69" s="69"/>
      <c r="B69" s="10" t="s">
        <v>310</v>
      </c>
      <c r="C69" s="11">
        <v>30000</v>
      </c>
      <c r="D69" s="11"/>
      <c r="E69" s="69"/>
      <c r="F69" s="10"/>
      <c r="G69" s="11"/>
      <c r="H69" s="11"/>
    </row>
    <row r="70" spans="1:8" ht="21">
      <c r="A70" s="69"/>
      <c r="B70" s="74" t="s">
        <v>29</v>
      </c>
      <c r="C70" s="75">
        <f>SUM(C63:C69)</f>
        <v>968000</v>
      </c>
      <c r="D70" s="11">
        <f>C70</f>
        <v>968000</v>
      </c>
      <c r="E70" s="69"/>
      <c r="F70" s="74" t="s">
        <v>29</v>
      </c>
      <c r="G70" s="75">
        <f>SUM(G64:G69)</f>
        <v>0</v>
      </c>
      <c r="H70" s="11">
        <f>G70</f>
        <v>0</v>
      </c>
    </row>
    <row r="71" spans="1:8" ht="21">
      <c r="A71" s="69"/>
      <c r="B71" s="10"/>
      <c r="C71" s="11"/>
      <c r="D71" s="11"/>
      <c r="E71" s="69"/>
      <c r="F71" s="10"/>
      <c r="G71" s="11"/>
      <c r="H71" s="11"/>
    </row>
    <row r="72" spans="1:8" ht="21">
      <c r="A72" s="69"/>
      <c r="B72" s="29" t="s">
        <v>29</v>
      </c>
      <c r="C72" s="30"/>
      <c r="D72" s="30">
        <f>SUM(D49:D71)</f>
        <v>2966000</v>
      </c>
      <c r="E72" s="69"/>
      <c r="F72" s="29" t="s">
        <v>29</v>
      </c>
      <c r="G72" s="30"/>
      <c r="H72" s="30">
        <f>SUM(H48:H71)</f>
        <v>4624000</v>
      </c>
    </row>
    <row r="76" spans="1:8">
      <c r="A76" s="213" t="s">
        <v>89</v>
      </c>
      <c r="B76" s="213"/>
      <c r="C76" s="213"/>
      <c r="E76" s="211" t="s">
        <v>311</v>
      </c>
      <c r="F76" s="211"/>
      <c r="G76" s="211"/>
    </row>
    <row r="77" spans="1:8">
      <c r="A77" s="213"/>
      <c r="B77" s="213"/>
      <c r="C77" s="213"/>
      <c r="E77" s="212"/>
      <c r="F77" s="212"/>
      <c r="G77" s="212"/>
    </row>
    <row r="78" spans="1:8">
      <c r="A78" s="110" t="s">
        <v>9</v>
      </c>
      <c r="B78" s="110" t="s">
        <v>90</v>
      </c>
      <c r="C78" s="111" t="s">
        <v>91</v>
      </c>
      <c r="E78" s="114" t="s">
        <v>94</v>
      </c>
      <c r="F78" s="115" t="s">
        <v>95</v>
      </c>
      <c r="G78" s="116" t="s">
        <v>96</v>
      </c>
    </row>
    <row r="79" spans="1:8">
      <c r="A79" s="110" t="s">
        <v>279</v>
      </c>
      <c r="B79" s="112">
        <f>C111</f>
        <v>5130000</v>
      </c>
      <c r="C79" s="113" t="s">
        <v>92</v>
      </c>
      <c r="E79" s="117" t="s">
        <v>312</v>
      </c>
      <c r="F79" s="118" t="s">
        <v>313</v>
      </c>
      <c r="G79" s="119">
        <v>150000</v>
      </c>
    </row>
    <row r="80" spans="1:8">
      <c r="A80" s="110" t="s">
        <v>286</v>
      </c>
      <c r="B80" s="112">
        <f>C132</f>
        <v>5427000</v>
      </c>
      <c r="C80" s="113" t="s">
        <v>92</v>
      </c>
      <c r="E80" s="120" t="s">
        <v>314</v>
      </c>
      <c r="F80" s="111" t="s">
        <v>315</v>
      </c>
      <c r="G80" s="121">
        <v>2700000</v>
      </c>
    </row>
    <row r="81" spans="1:7">
      <c r="A81" s="110" t="s">
        <v>316</v>
      </c>
      <c r="B81" s="112">
        <f>C151</f>
        <v>10915000</v>
      </c>
      <c r="C81" s="113" t="s">
        <v>92</v>
      </c>
      <c r="D81" s="117"/>
      <c r="E81" s="122" t="s">
        <v>317</v>
      </c>
      <c r="F81" s="111" t="s">
        <v>318</v>
      </c>
      <c r="G81" s="121">
        <v>1000000</v>
      </c>
    </row>
    <row r="82" spans="1:7">
      <c r="A82" s="110" t="s">
        <v>319</v>
      </c>
      <c r="B82" s="112">
        <f>C173</f>
        <v>6451000</v>
      </c>
      <c r="C82" s="113" t="s">
        <v>92</v>
      </c>
      <c r="E82" s="122" t="s">
        <v>320</v>
      </c>
      <c r="F82" s="111" t="s">
        <v>321</v>
      </c>
      <c r="G82" s="121">
        <v>120000</v>
      </c>
    </row>
    <row r="83" spans="1:7">
      <c r="A83" s="110" t="s">
        <v>322</v>
      </c>
      <c r="B83" s="112">
        <f>G90</f>
        <v>4705000</v>
      </c>
      <c r="C83" s="113" t="s">
        <v>92</v>
      </c>
      <c r="E83" s="122" t="s">
        <v>323</v>
      </c>
      <c r="F83" s="111" t="s">
        <v>324</v>
      </c>
      <c r="G83" s="121">
        <v>120000</v>
      </c>
    </row>
    <row r="84" spans="1:7">
      <c r="A84" s="111" t="s">
        <v>287</v>
      </c>
      <c r="B84" s="112">
        <f>G111</f>
        <v>8940000</v>
      </c>
      <c r="C84" s="113" t="s">
        <v>92</v>
      </c>
      <c r="E84" s="120" t="s">
        <v>325</v>
      </c>
      <c r="F84" s="111" t="s">
        <v>326</v>
      </c>
      <c r="G84" s="121">
        <v>600000</v>
      </c>
    </row>
    <row r="85" spans="1:7">
      <c r="A85" s="110"/>
      <c r="B85" s="112">
        <f>SUM(G156)</f>
        <v>0</v>
      </c>
      <c r="C85" s="113" t="s">
        <v>92</v>
      </c>
      <c r="E85" s="122"/>
      <c r="F85" s="111" t="s">
        <v>327</v>
      </c>
      <c r="G85" s="121">
        <v>15000</v>
      </c>
    </row>
    <row r="86" spans="1:7">
      <c r="A86" s="110"/>
      <c r="B86" s="112">
        <f>G179</f>
        <v>0</v>
      </c>
      <c r="C86" s="113" t="s">
        <v>92</v>
      </c>
      <c r="E86" s="122"/>
      <c r="F86" s="111"/>
      <c r="G86" s="121"/>
    </row>
    <row r="87" spans="1:7">
      <c r="A87" s="110"/>
      <c r="B87" s="112"/>
      <c r="C87" s="113"/>
      <c r="E87" s="120"/>
      <c r="F87" s="111"/>
      <c r="G87" s="121"/>
    </row>
    <row r="88" spans="1:7">
      <c r="A88" s="110"/>
      <c r="B88" s="112"/>
      <c r="C88" s="113"/>
      <c r="E88" s="122"/>
      <c r="F88" s="111"/>
      <c r="G88" s="121"/>
    </row>
    <row r="89" spans="1:7">
      <c r="A89" s="110"/>
      <c r="B89" s="112"/>
      <c r="C89" s="113"/>
      <c r="E89" s="122"/>
      <c r="F89" s="111"/>
      <c r="G89" s="121"/>
    </row>
    <row r="90" spans="1:7">
      <c r="A90" s="110"/>
      <c r="B90" s="112"/>
      <c r="C90" s="113"/>
      <c r="E90" s="126" t="s">
        <v>29</v>
      </c>
      <c r="F90" s="127"/>
      <c r="G90" s="172">
        <f>SUM(G79:G89)</f>
        <v>4705000</v>
      </c>
    </row>
    <row r="91" spans="1:7">
      <c r="A91" s="110"/>
      <c r="B91" s="112"/>
      <c r="C91" s="113"/>
    </row>
    <row r="92" spans="1:7">
      <c r="A92" s="110"/>
      <c r="B92" s="112"/>
      <c r="C92" s="113"/>
      <c r="E92" s="123" t="s">
        <v>328</v>
      </c>
      <c r="F92" s="123" t="s">
        <v>232</v>
      </c>
      <c r="G92" s="123" t="s">
        <v>329</v>
      </c>
    </row>
    <row r="93" spans="1:7">
      <c r="A93" s="110"/>
      <c r="B93" s="112"/>
      <c r="C93" s="113"/>
      <c r="E93" s="123" t="s">
        <v>330</v>
      </c>
      <c r="F93" s="123" t="s">
        <v>331</v>
      </c>
      <c r="G93" s="123" t="s">
        <v>332</v>
      </c>
    </row>
    <row r="94" spans="1:7">
      <c r="A94" s="124" t="s">
        <v>50</v>
      </c>
      <c r="B94" s="125">
        <f>SUM(B79:B93)</f>
        <v>41568000</v>
      </c>
      <c r="C94" s="124"/>
      <c r="E94" s="123" t="s">
        <v>333</v>
      </c>
      <c r="F94" s="123" t="s">
        <v>334</v>
      </c>
      <c r="G94" s="123"/>
    </row>
    <row r="95" spans="1:7">
      <c r="E95" s="123" t="s">
        <v>335</v>
      </c>
      <c r="F95" s="123" t="s">
        <v>230</v>
      </c>
      <c r="G95" s="123"/>
    </row>
    <row r="96" spans="1:7">
      <c r="E96" s="123" t="s">
        <v>336</v>
      </c>
      <c r="F96" s="123" t="s">
        <v>337</v>
      </c>
      <c r="G96" s="123"/>
    </row>
    <row r="97" spans="1:7">
      <c r="A97" s="211" t="s">
        <v>338</v>
      </c>
      <c r="B97" s="211"/>
      <c r="C97" s="211"/>
      <c r="E97" s="211" t="s">
        <v>339</v>
      </c>
      <c r="F97" s="211"/>
      <c r="G97" s="211"/>
    </row>
    <row r="98" spans="1:7">
      <c r="A98" s="212"/>
      <c r="B98" s="212"/>
      <c r="C98" s="212"/>
      <c r="E98" s="212"/>
      <c r="F98" s="212"/>
      <c r="G98" s="212"/>
    </row>
    <row r="99" spans="1:7">
      <c r="A99" s="114" t="s">
        <v>94</v>
      </c>
      <c r="B99" s="115" t="s">
        <v>95</v>
      </c>
      <c r="C99" s="116" t="s">
        <v>96</v>
      </c>
      <c r="E99" s="114" t="s">
        <v>94</v>
      </c>
      <c r="F99" s="115" t="s">
        <v>95</v>
      </c>
      <c r="G99" s="116" t="s">
        <v>96</v>
      </c>
    </row>
    <row r="100" spans="1:7">
      <c r="A100" s="117" t="s">
        <v>340</v>
      </c>
      <c r="B100" s="118" t="s">
        <v>341</v>
      </c>
      <c r="C100" s="119">
        <v>400000</v>
      </c>
      <c r="E100" s="117" t="s">
        <v>342</v>
      </c>
      <c r="F100" s="118" t="s">
        <v>140</v>
      </c>
      <c r="G100" s="119">
        <v>3600000</v>
      </c>
    </row>
    <row r="101" spans="1:7">
      <c r="A101" s="120" t="s">
        <v>343</v>
      </c>
      <c r="B101" s="111" t="s">
        <v>344</v>
      </c>
      <c r="C101" s="121">
        <v>1800000</v>
      </c>
      <c r="E101" s="120" t="s">
        <v>345</v>
      </c>
      <c r="F101" s="111" t="s">
        <v>346</v>
      </c>
      <c r="G101" s="121">
        <v>600000</v>
      </c>
    </row>
    <row r="102" spans="1:7">
      <c r="A102" s="122" t="s">
        <v>347</v>
      </c>
      <c r="B102" s="111" t="s">
        <v>348</v>
      </c>
      <c r="C102" s="121">
        <v>400000</v>
      </c>
      <c r="E102" s="122" t="s">
        <v>349</v>
      </c>
      <c r="F102" s="111" t="s">
        <v>350</v>
      </c>
      <c r="G102" s="121">
        <v>600000</v>
      </c>
    </row>
    <row r="103" spans="1:7">
      <c r="A103" s="122" t="s">
        <v>351</v>
      </c>
      <c r="B103" s="111" t="s">
        <v>352</v>
      </c>
      <c r="C103" s="121">
        <v>360000</v>
      </c>
      <c r="E103" s="122" t="s">
        <v>353</v>
      </c>
      <c r="F103" s="111" t="s">
        <v>354</v>
      </c>
      <c r="G103" s="121">
        <v>240000</v>
      </c>
    </row>
    <row r="104" spans="1:7">
      <c r="A104" s="122" t="s">
        <v>355</v>
      </c>
      <c r="B104" s="111" t="s">
        <v>356</v>
      </c>
      <c r="C104" s="121">
        <v>120000</v>
      </c>
      <c r="E104" s="122" t="s">
        <v>357</v>
      </c>
      <c r="F104" s="111" t="s">
        <v>358</v>
      </c>
      <c r="G104" s="121">
        <v>300000</v>
      </c>
    </row>
    <row r="105" spans="1:7">
      <c r="A105" s="120" t="s">
        <v>359</v>
      </c>
      <c r="B105" s="111" t="s">
        <v>360</v>
      </c>
      <c r="C105" s="121">
        <v>250000</v>
      </c>
      <c r="E105" s="120" t="s">
        <v>361</v>
      </c>
      <c r="F105" s="111" t="s">
        <v>362</v>
      </c>
      <c r="G105" s="121">
        <v>3450000</v>
      </c>
    </row>
    <row r="106" spans="1:7">
      <c r="A106" s="122" t="s">
        <v>363</v>
      </c>
      <c r="B106" s="111" t="s">
        <v>364</v>
      </c>
      <c r="C106" s="121">
        <v>1800000</v>
      </c>
      <c r="E106" s="122" t="s">
        <v>365</v>
      </c>
      <c r="F106" s="111" t="s">
        <v>366</v>
      </c>
      <c r="G106" s="121">
        <v>150000</v>
      </c>
    </row>
    <row r="107" spans="1:7">
      <c r="A107" s="122"/>
      <c r="B107" s="111"/>
      <c r="C107" s="121"/>
      <c r="E107" s="122"/>
      <c r="F107" s="111"/>
      <c r="G107" s="121"/>
    </row>
    <row r="108" spans="1:7">
      <c r="A108" s="120"/>
      <c r="B108" s="111"/>
      <c r="C108" s="121"/>
      <c r="E108" s="120"/>
      <c r="F108" s="111"/>
      <c r="G108" s="121"/>
    </row>
    <row r="109" spans="1:7">
      <c r="A109" s="122"/>
      <c r="B109" s="111"/>
      <c r="C109" s="121"/>
      <c r="E109" s="122"/>
      <c r="F109" s="111"/>
      <c r="G109" s="121"/>
    </row>
    <row r="110" spans="1:7">
      <c r="A110" s="122"/>
      <c r="B110" s="111"/>
      <c r="C110" s="121"/>
      <c r="E110" s="122"/>
      <c r="F110" s="111"/>
      <c r="G110" s="121"/>
    </row>
    <row r="111" spans="1:7">
      <c r="A111" s="126" t="s">
        <v>29</v>
      </c>
      <c r="B111" s="127"/>
      <c r="C111" s="128">
        <f>SUM(C100:C110)</f>
        <v>5130000</v>
      </c>
      <c r="E111" s="126" t="s">
        <v>29</v>
      </c>
      <c r="F111" s="127"/>
      <c r="G111" s="172">
        <f>SUM(G100:G110)</f>
        <v>8940000</v>
      </c>
    </row>
    <row r="112" spans="1:7">
      <c r="A112" t="s">
        <v>123</v>
      </c>
      <c r="B112" s="140" t="s">
        <v>228</v>
      </c>
      <c r="C112" s="140" t="s">
        <v>367</v>
      </c>
      <c r="E112" s="89" t="s">
        <v>368</v>
      </c>
      <c r="F112" s="89" t="s">
        <v>369</v>
      </c>
    </row>
    <row r="113" spans="1:7" hidden="1">
      <c r="C113" s="140"/>
      <c r="E113" s="89"/>
      <c r="F113" s="89"/>
    </row>
    <row r="114" spans="1:7">
      <c r="A114" t="s">
        <v>330</v>
      </c>
      <c r="B114" s="140" t="s">
        <v>228</v>
      </c>
      <c r="C114" s="140" t="s">
        <v>370</v>
      </c>
      <c r="E114" s="89" t="s">
        <v>371</v>
      </c>
      <c r="F114" s="89" t="s">
        <v>372</v>
      </c>
    </row>
    <row r="115" spans="1:7">
      <c r="A115" t="s">
        <v>229</v>
      </c>
      <c r="B115" s="140" t="s">
        <v>230</v>
      </c>
      <c r="C115" s="140" t="s">
        <v>373</v>
      </c>
      <c r="E115" s="89" t="s">
        <v>374</v>
      </c>
      <c r="F115" s="89"/>
    </row>
    <row r="116" spans="1:7">
      <c r="C116" s="140"/>
      <c r="E116" s="89"/>
      <c r="F116" s="89"/>
    </row>
    <row r="117" spans="1:7">
      <c r="C117" s="140"/>
      <c r="E117" s="89"/>
      <c r="F117" s="89"/>
    </row>
    <row r="118" spans="1:7">
      <c r="A118" s="211" t="s">
        <v>375</v>
      </c>
      <c r="B118" s="211"/>
      <c r="C118" s="211"/>
    </row>
    <row r="119" spans="1:7">
      <c r="A119" s="212"/>
      <c r="B119" s="212"/>
      <c r="C119" s="212"/>
    </row>
    <row r="120" spans="1:7">
      <c r="A120" s="114" t="s">
        <v>94</v>
      </c>
      <c r="B120" s="115" t="s">
        <v>95</v>
      </c>
      <c r="C120" s="116" t="s">
        <v>96</v>
      </c>
      <c r="E120" s="211" t="s">
        <v>376</v>
      </c>
      <c r="F120" s="211"/>
      <c r="G120" s="211"/>
    </row>
    <row r="121" spans="1:7">
      <c r="A121" s="117" t="s">
        <v>377</v>
      </c>
      <c r="B121" s="118" t="s">
        <v>378</v>
      </c>
      <c r="C121" s="119">
        <v>195000</v>
      </c>
      <c r="E121" s="212"/>
      <c r="F121" s="212"/>
      <c r="G121" s="212"/>
    </row>
    <row r="122" spans="1:7">
      <c r="A122" s="120" t="s">
        <v>379</v>
      </c>
      <c r="B122" s="111" t="s">
        <v>380</v>
      </c>
      <c r="C122" s="121">
        <v>200000</v>
      </c>
      <c r="E122" s="114" t="s">
        <v>94</v>
      </c>
      <c r="F122" s="115" t="s">
        <v>95</v>
      </c>
      <c r="G122" s="116" t="s">
        <v>96</v>
      </c>
    </row>
    <row r="123" spans="1:7">
      <c r="A123" s="122" t="s">
        <v>381</v>
      </c>
      <c r="B123" s="111" t="s">
        <v>382</v>
      </c>
      <c r="C123" s="121">
        <v>1800000</v>
      </c>
      <c r="E123" s="117"/>
      <c r="F123" s="118"/>
      <c r="G123" s="119"/>
    </row>
    <row r="124" spans="1:7">
      <c r="A124" s="122" t="s">
        <v>383</v>
      </c>
      <c r="B124" s="111" t="s">
        <v>384</v>
      </c>
      <c r="C124" s="121">
        <v>360000</v>
      </c>
      <c r="E124" s="120"/>
      <c r="F124" s="111"/>
      <c r="G124" s="121"/>
    </row>
    <row r="125" spans="1:7">
      <c r="A125" s="122" t="s">
        <v>385</v>
      </c>
      <c r="B125" s="111" t="s">
        <v>386</v>
      </c>
      <c r="C125" s="121">
        <v>50000</v>
      </c>
      <c r="E125" s="122"/>
      <c r="F125" s="111"/>
      <c r="G125" s="121"/>
    </row>
    <row r="126" spans="1:7">
      <c r="A126" s="120" t="s">
        <v>387</v>
      </c>
      <c r="B126" s="111" t="s">
        <v>388</v>
      </c>
      <c r="C126" s="121">
        <v>400000</v>
      </c>
      <c r="E126" s="122"/>
      <c r="F126" s="111"/>
      <c r="G126" s="121"/>
    </row>
    <row r="127" spans="1:7">
      <c r="A127" s="122" t="s">
        <v>320</v>
      </c>
      <c r="B127" s="111" t="s">
        <v>389</v>
      </c>
      <c r="C127" s="121">
        <v>72000</v>
      </c>
      <c r="E127" s="122"/>
      <c r="F127" s="111"/>
      <c r="G127" s="121"/>
    </row>
    <row r="128" spans="1:7">
      <c r="A128" s="122" t="s">
        <v>390</v>
      </c>
      <c r="B128" s="111" t="s">
        <v>391</v>
      </c>
      <c r="C128" s="121">
        <v>1800000</v>
      </c>
      <c r="E128" s="120"/>
      <c r="F128" s="111"/>
      <c r="G128" s="121"/>
    </row>
    <row r="129" spans="1:7">
      <c r="A129" s="120" t="s">
        <v>392</v>
      </c>
      <c r="B129" s="111" t="s">
        <v>393</v>
      </c>
      <c r="C129" s="121">
        <v>550000</v>
      </c>
      <c r="E129" s="122"/>
      <c r="F129" s="111"/>
      <c r="G129" s="121"/>
    </row>
    <row r="130" spans="1:7">
      <c r="A130" s="122"/>
      <c r="B130" s="111"/>
      <c r="C130" s="121"/>
      <c r="E130" s="122"/>
      <c r="F130" s="111"/>
      <c r="G130" s="121"/>
    </row>
    <row r="131" spans="1:7">
      <c r="A131" s="122"/>
      <c r="B131" s="111"/>
      <c r="C131" s="121"/>
      <c r="E131" s="120"/>
      <c r="F131" s="111"/>
      <c r="G131" s="121"/>
    </row>
    <row r="132" spans="1:7">
      <c r="A132" s="126" t="s">
        <v>29</v>
      </c>
      <c r="B132" s="127"/>
      <c r="C132" s="172">
        <f>SUM(C121:C131)</f>
        <v>5427000</v>
      </c>
      <c r="E132" s="122"/>
      <c r="F132" s="111"/>
      <c r="G132" s="121"/>
    </row>
    <row r="133" spans="1:7">
      <c r="A133" s="173" t="s">
        <v>394</v>
      </c>
      <c r="B133" s="174" t="s">
        <v>330</v>
      </c>
      <c r="C133" s="174" t="s">
        <v>228</v>
      </c>
      <c r="E133" s="122"/>
      <c r="F133" s="111"/>
      <c r="G133" s="121"/>
    </row>
    <row r="134" spans="1:7">
      <c r="A134" s="173" t="s">
        <v>395</v>
      </c>
      <c r="B134" s="174" t="s">
        <v>123</v>
      </c>
      <c r="C134" s="174" t="s">
        <v>228</v>
      </c>
      <c r="E134" s="126" t="s">
        <v>29</v>
      </c>
      <c r="F134" s="127"/>
      <c r="G134" s="128">
        <f>SUM(G123:G133)</f>
        <v>0</v>
      </c>
    </row>
    <row r="135" spans="1:7">
      <c r="A135" s="173" t="s">
        <v>396</v>
      </c>
      <c r="B135" s="174" t="s">
        <v>229</v>
      </c>
      <c r="C135" s="174" t="s">
        <v>397</v>
      </c>
    </row>
    <row r="136" spans="1:7">
      <c r="A136" s="173"/>
      <c r="B136" s="174" t="s">
        <v>398</v>
      </c>
      <c r="C136" s="174" t="s">
        <v>331</v>
      </c>
    </row>
    <row r="137" spans="1:7">
      <c r="A137" s="211" t="s">
        <v>376</v>
      </c>
      <c r="B137" s="211"/>
      <c r="C137" s="211"/>
    </row>
    <row r="138" spans="1:7">
      <c r="A138" s="212"/>
      <c r="B138" s="212"/>
      <c r="C138" s="212"/>
    </row>
    <row r="139" spans="1:7">
      <c r="A139" s="114" t="s">
        <v>94</v>
      </c>
      <c r="B139" s="115" t="s">
        <v>95</v>
      </c>
      <c r="C139" s="116" t="s">
        <v>96</v>
      </c>
    </row>
    <row r="140" spans="1:7">
      <c r="A140" s="117" t="s">
        <v>116</v>
      </c>
      <c r="B140" s="118" t="s">
        <v>399</v>
      </c>
      <c r="C140" s="119">
        <v>3475000</v>
      </c>
      <c r="E140" s="211" t="s">
        <v>376</v>
      </c>
      <c r="F140" s="211"/>
      <c r="G140" s="211"/>
    </row>
    <row r="141" spans="1:7">
      <c r="A141" s="120" t="s">
        <v>400</v>
      </c>
      <c r="B141" s="111" t="s">
        <v>401</v>
      </c>
      <c r="C141" s="121">
        <v>240000</v>
      </c>
      <c r="E141" s="212"/>
      <c r="F141" s="212"/>
      <c r="G141" s="212"/>
    </row>
    <row r="142" spans="1:7">
      <c r="A142" s="122" t="s">
        <v>402</v>
      </c>
      <c r="B142" s="111" t="s">
        <v>315</v>
      </c>
      <c r="C142" s="121">
        <v>2700000</v>
      </c>
      <c r="E142" s="114" t="s">
        <v>94</v>
      </c>
      <c r="F142" s="115" t="s">
        <v>95</v>
      </c>
      <c r="G142" s="116" t="s">
        <v>96</v>
      </c>
    </row>
    <row r="143" spans="1:7">
      <c r="A143" s="122" t="s">
        <v>403</v>
      </c>
      <c r="B143" s="111" t="s">
        <v>404</v>
      </c>
      <c r="C143" s="121">
        <v>500000</v>
      </c>
      <c r="E143" s="117"/>
      <c r="F143" s="118"/>
      <c r="G143" s="119"/>
    </row>
    <row r="144" spans="1:7">
      <c r="A144" s="122" t="s">
        <v>116</v>
      </c>
      <c r="B144" s="111" t="s">
        <v>405</v>
      </c>
      <c r="C144" s="121">
        <v>200000</v>
      </c>
      <c r="E144" s="120"/>
      <c r="F144" s="111"/>
      <c r="G144" s="121"/>
    </row>
    <row r="145" spans="1:7">
      <c r="A145" s="120" t="s">
        <v>406</v>
      </c>
      <c r="B145" s="111" t="s">
        <v>407</v>
      </c>
      <c r="C145" s="121">
        <v>600000</v>
      </c>
      <c r="E145" s="122"/>
      <c r="F145" s="111"/>
      <c r="G145" s="121"/>
    </row>
    <row r="146" spans="1:7">
      <c r="A146" s="122" t="s">
        <v>408</v>
      </c>
      <c r="B146" s="111" t="s">
        <v>409</v>
      </c>
      <c r="C146" s="121">
        <v>3000000</v>
      </c>
      <c r="E146" s="122"/>
      <c r="F146" s="111"/>
      <c r="G146" s="121"/>
    </row>
    <row r="147" spans="1:7">
      <c r="A147" s="122" t="s">
        <v>385</v>
      </c>
      <c r="B147" s="111" t="s">
        <v>410</v>
      </c>
      <c r="C147" s="121">
        <v>200000</v>
      </c>
      <c r="E147" s="122"/>
      <c r="F147" s="111"/>
      <c r="G147" s="121"/>
    </row>
    <row r="148" spans="1:7">
      <c r="A148" s="120"/>
      <c r="B148" s="111"/>
      <c r="C148" s="121"/>
      <c r="E148" s="120"/>
      <c r="F148" s="111"/>
      <c r="G148" s="121"/>
    </row>
    <row r="149" spans="1:7">
      <c r="A149" s="122"/>
      <c r="B149" s="111"/>
      <c r="C149" s="121"/>
      <c r="E149" s="122"/>
      <c r="F149" s="111"/>
      <c r="G149" s="121"/>
    </row>
    <row r="150" spans="1:7">
      <c r="A150" s="122"/>
      <c r="B150" s="111"/>
      <c r="C150" s="121"/>
      <c r="E150" s="122"/>
      <c r="F150" s="111"/>
      <c r="G150" s="121"/>
    </row>
    <row r="151" spans="1:7">
      <c r="A151" s="126" t="s">
        <v>29</v>
      </c>
      <c r="B151" s="127"/>
      <c r="C151" s="172">
        <f>SUM(C140:C150)</f>
        <v>10915000</v>
      </c>
      <c r="E151" s="120"/>
      <c r="F151" s="111"/>
      <c r="G151" s="121"/>
    </row>
    <row r="152" spans="1:7">
      <c r="A152" s="123" t="s">
        <v>411</v>
      </c>
      <c r="B152" s="175" t="s">
        <v>412</v>
      </c>
      <c r="C152" s="175" t="s">
        <v>413</v>
      </c>
      <c r="E152" s="122"/>
      <c r="F152" s="111"/>
      <c r="G152" s="121"/>
    </row>
    <row r="153" spans="1:7">
      <c r="A153" s="123" t="s">
        <v>414</v>
      </c>
      <c r="B153" s="175" t="s">
        <v>334</v>
      </c>
      <c r="C153" s="175"/>
      <c r="E153" s="122"/>
      <c r="F153" s="111"/>
      <c r="G153" s="121"/>
    </row>
    <row r="154" spans="1:7">
      <c r="A154" s="123" t="s">
        <v>415</v>
      </c>
      <c r="B154" s="175" t="s">
        <v>331</v>
      </c>
      <c r="C154" s="175"/>
      <c r="E154" s="126" t="s">
        <v>29</v>
      </c>
      <c r="F154" s="127"/>
      <c r="G154" s="128">
        <f>SUM(G143:G153)</f>
        <v>0</v>
      </c>
    </row>
    <row r="155" spans="1:7">
      <c r="A155" s="123" t="s">
        <v>330</v>
      </c>
      <c r="B155" s="175" t="s">
        <v>331</v>
      </c>
      <c r="C155" s="175"/>
    </row>
    <row r="156" spans="1:7">
      <c r="A156" s="123" t="s">
        <v>416</v>
      </c>
      <c r="B156" s="175" t="s">
        <v>417</v>
      </c>
      <c r="C156" s="175"/>
    </row>
    <row r="157" spans="1:7">
      <c r="A157" s="123" t="s">
        <v>418</v>
      </c>
      <c r="B157" s="175" t="s">
        <v>334</v>
      </c>
      <c r="C157" s="176"/>
    </row>
    <row r="159" spans="1:7">
      <c r="A159" s="211" t="s">
        <v>419</v>
      </c>
      <c r="B159" s="211"/>
      <c r="C159" s="211"/>
    </row>
    <row r="160" spans="1:7">
      <c r="A160" s="212"/>
      <c r="B160" s="212"/>
      <c r="C160" s="212"/>
    </row>
    <row r="161" spans="1:3">
      <c r="A161" s="114" t="s">
        <v>94</v>
      </c>
      <c r="B161" s="115" t="s">
        <v>95</v>
      </c>
      <c r="C161" s="116" t="s">
        <v>96</v>
      </c>
    </row>
    <row r="162" spans="1:3">
      <c r="A162" s="117" t="s">
        <v>197</v>
      </c>
      <c r="B162" s="118" t="s">
        <v>420</v>
      </c>
      <c r="C162" s="119">
        <v>162000</v>
      </c>
    </row>
    <row r="163" spans="1:3">
      <c r="A163" s="120" t="s">
        <v>120</v>
      </c>
      <c r="B163" s="111" t="s">
        <v>421</v>
      </c>
      <c r="C163" s="121">
        <v>480000</v>
      </c>
    </row>
    <row r="164" spans="1:3">
      <c r="A164" s="122" t="s">
        <v>422</v>
      </c>
      <c r="B164" s="111" t="s">
        <v>97</v>
      </c>
      <c r="C164" s="121">
        <v>800000</v>
      </c>
    </row>
    <row r="165" spans="1:3">
      <c r="A165" s="122" t="s">
        <v>423</v>
      </c>
      <c r="B165" s="111" t="s">
        <v>424</v>
      </c>
      <c r="C165" s="121">
        <v>1800000</v>
      </c>
    </row>
    <row r="166" spans="1:3">
      <c r="A166" s="122" t="s">
        <v>425</v>
      </c>
      <c r="B166" s="111" t="s">
        <v>426</v>
      </c>
      <c r="C166" s="121">
        <v>100000</v>
      </c>
    </row>
    <row r="167" spans="1:3">
      <c r="A167" s="120" t="s">
        <v>197</v>
      </c>
      <c r="B167" s="111" t="s">
        <v>427</v>
      </c>
      <c r="C167" s="121">
        <v>60000</v>
      </c>
    </row>
    <row r="168" spans="1:3">
      <c r="A168" s="122" t="s">
        <v>320</v>
      </c>
      <c r="B168" s="111" t="s">
        <v>428</v>
      </c>
      <c r="C168" s="121">
        <v>25000</v>
      </c>
    </row>
    <row r="169" spans="1:3">
      <c r="A169" s="122" t="s">
        <v>429</v>
      </c>
      <c r="B169" s="111" t="s">
        <v>430</v>
      </c>
      <c r="C169" s="121">
        <v>3000000</v>
      </c>
    </row>
    <row r="170" spans="1:3">
      <c r="A170" s="120"/>
      <c r="B170" s="111" t="s">
        <v>431</v>
      </c>
      <c r="C170" s="121">
        <v>24000</v>
      </c>
    </row>
    <row r="171" spans="1:3">
      <c r="A171" s="122"/>
      <c r="B171" s="111"/>
      <c r="C171" s="121"/>
    </row>
    <row r="172" spans="1:3">
      <c r="A172" s="122"/>
      <c r="B172" s="111"/>
      <c r="C172" s="121"/>
    </row>
    <row r="173" spans="1:3">
      <c r="A173" s="126" t="s">
        <v>29</v>
      </c>
      <c r="B173" s="127"/>
      <c r="C173" s="172">
        <f>SUM(C162:C172)</f>
        <v>6451000</v>
      </c>
    </row>
    <row r="175" spans="1:3">
      <c r="A175" s="123" t="s">
        <v>415</v>
      </c>
      <c r="B175" s="175" t="s">
        <v>230</v>
      </c>
    </row>
    <row r="176" spans="1:3">
      <c r="A176" s="123" t="s">
        <v>432</v>
      </c>
      <c r="B176" s="175" t="s">
        <v>228</v>
      </c>
    </row>
    <row r="177" spans="1:2">
      <c r="A177" s="123" t="s">
        <v>433</v>
      </c>
      <c r="B177" s="175" t="s">
        <v>228</v>
      </c>
    </row>
    <row r="178" spans="1:2">
      <c r="A178" s="123" t="s">
        <v>434</v>
      </c>
      <c r="B178" s="175" t="s">
        <v>334</v>
      </c>
    </row>
    <row r="179" spans="1:2">
      <c r="A179" s="123" t="s">
        <v>435</v>
      </c>
      <c r="B179" s="175" t="s">
        <v>232</v>
      </c>
    </row>
    <row r="180" spans="1:2">
      <c r="A180" s="123" t="s">
        <v>436</v>
      </c>
      <c r="B180" s="175" t="s">
        <v>437</v>
      </c>
    </row>
    <row r="181" spans="1:2">
      <c r="A181" s="123" t="s">
        <v>438</v>
      </c>
      <c r="B181" s="175" t="s">
        <v>439</v>
      </c>
    </row>
    <row r="182" spans="1:2">
      <c r="A182" s="123" t="s">
        <v>440</v>
      </c>
      <c r="B182" s="175" t="s">
        <v>230</v>
      </c>
    </row>
  </sheetData>
  <mergeCells count="17">
    <mergeCell ref="A159:C160"/>
    <mergeCell ref="D41:E41"/>
    <mergeCell ref="A46:D46"/>
    <mergeCell ref="E46:H46"/>
    <mergeCell ref="E97:G98"/>
    <mergeCell ref="E140:G141"/>
    <mergeCell ref="A76:C77"/>
    <mergeCell ref="A118:C119"/>
    <mergeCell ref="E76:G77"/>
    <mergeCell ref="A97:C98"/>
    <mergeCell ref="A137:C138"/>
    <mergeCell ref="E120:G121"/>
    <mergeCell ref="B1:D1"/>
    <mergeCell ref="F1:H1"/>
    <mergeCell ref="R1:V1"/>
    <mergeCell ref="J2:L2"/>
    <mergeCell ref="R14:T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4"/>
  <sheetViews>
    <sheetView topLeftCell="A86" zoomScale="71" zoomScaleNormal="71" workbookViewId="0">
      <selection activeCell="A110" sqref="A110:D124"/>
    </sheetView>
  </sheetViews>
  <sheetFormatPr defaultColWidth="10" defaultRowHeight="13.8"/>
  <cols>
    <col min="1" max="1" width="13.8984375" customWidth="1"/>
    <col min="2" max="2" width="13.19921875" customWidth="1"/>
    <col min="3" max="3" width="19.59765625" customWidth="1"/>
    <col min="4" max="4" width="19" customWidth="1"/>
    <col min="5" max="5" width="29.3984375" customWidth="1"/>
    <col min="6" max="6" width="27.296875" customWidth="1"/>
    <col min="7" max="7" width="13.5" customWidth="1"/>
  </cols>
  <sheetData>
    <row r="1" spans="1:5" ht="30">
      <c r="A1" s="198" t="s">
        <v>0</v>
      </c>
      <c r="B1" s="198"/>
      <c r="C1" s="198"/>
      <c r="D1" s="198"/>
      <c r="E1" s="145" t="s">
        <v>1</v>
      </c>
    </row>
    <row r="2" spans="1:5" ht="21">
      <c r="A2" s="7" t="s">
        <v>4</v>
      </c>
      <c r="B2" s="7" t="s">
        <v>5</v>
      </c>
      <c r="C2" s="7" t="s">
        <v>6</v>
      </c>
      <c r="D2" s="7" t="s">
        <v>7</v>
      </c>
      <c r="E2" s="7" t="s">
        <v>8</v>
      </c>
    </row>
    <row r="3" spans="1:5" ht="21">
      <c r="A3" s="9" t="s">
        <v>17</v>
      </c>
      <c r="B3" s="10">
        <v>13</v>
      </c>
      <c r="C3" s="10">
        <v>3</v>
      </c>
      <c r="D3" s="11">
        <f t="shared" ref="D3:D23" si="0">SUM((B3*55000)+(C3*20000))</f>
        <v>775000</v>
      </c>
      <c r="E3" s="11">
        <v>-3860000</v>
      </c>
    </row>
    <row r="4" spans="1:5" ht="21">
      <c r="A4" s="15" t="s">
        <v>19</v>
      </c>
      <c r="B4" s="10">
        <v>7</v>
      </c>
      <c r="C4" s="10">
        <v>11</v>
      </c>
      <c r="D4" s="11">
        <f t="shared" si="0"/>
        <v>605000</v>
      </c>
      <c r="E4" s="11">
        <v>-3180000</v>
      </c>
    </row>
    <row r="5" spans="1:5" ht="21">
      <c r="A5" s="16" t="s">
        <v>23</v>
      </c>
      <c r="B5" s="10">
        <v>24</v>
      </c>
      <c r="C5" s="10">
        <v>24</v>
      </c>
      <c r="D5" s="11">
        <f t="shared" si="0"/>
        <v>1800000</v>
      </c>
      <c r="E5" s="11">
        <v>-8305000</v>
      </c>
    </row>
    <row r="6" spans="1:5" ht="21">
      <c r="A6" s="16" t="s">
        <v>19</v>
      </c>
      <c r="B6" s="10">
        <v>14</v>
      </c>
      <c r="C6" s="10">
        <v>14</v>
      </c>
      <c r="D6" s="11">
        <f t="shared" si="0"/>
        <v>1050000</v>
      </c>
      <c r="E6" s="11">
        <v>-3700000</v>
      </c>
    </row>
    <row r="7" spans="1:5" ht="21">
      <c r="A7" s="16" t="s">
        <v>30</v>
      </c>
      <c r="B7" s="10">
        <v>24</v>
      </c>
      <c r="C7" s="10">
        <v>26</v>
      </c>
      <c r="D7" s="11">
        <f t="shared" si="0"/>
        <v>1840000</v>
      </c>
      <c r="E7" s="11">
        <v>-9195000</v>
      </c>
    </row>
    <row r="8" spans="1:5" ht="21">
      <c r="A8" s="16" t="s">
        <v>33</v>
      </c>
      <c r="B8" s="17">
        <v>21</v>
      </c>
      <c r="C8" s="10">
        <v>8</v>
      </c>
      <c r="D8" s="11">
        <f t="shared" si="0"/>
        <v>1315000</v>
      </c>
      <c r="E8" s="11">
        <v>-3614000</v>
      </c>
    </row>
    <row r="9" spans="1:5" ht="21">
      <c r="A9" s="16" t="s">
        <v>36</v>
      </c>
      <c r="B9" s="17">
        <v>16</v>
      </c>
      <c r="C9" s="10">
        <v>28</v>
      </c>
      <c r="D9" s="11">
        <f t="shared" si="0"/>
        <v>1440000</v>
      </c>
      <c r="E9" s="11">
        <v>-8285000</v>
      </c>
    </row>
    <row r="10" spans="1:5" ht="21">
      <c r="A10" s="16" t="s">
        <v>19</v>
      </c>
      <c r="B10" s="19">
        <v>20</v>
      </c>
      <c r="C10" s="10">
        <v>14</v>
      </c>
      <c r="D10" s="11">
        <f t="shared" si="0"/>
        <v>1380000</v>
      </c>
      <c r="E10" s="20">
        <v>-780000</v>
      </c>
    </row>
    <row r="11" spans="1:5" ht="21">
      <c r="A11" s="16" t="s">
        <v>38</v>
      </c>
      <c r="B11" s="10">
        <v>17</v>
      </c>
      <c r="C11" s="10">
        <v>20</v>
      </c>
      <c r="D11" s="11">
        <f t="shared" si="0"/>
        <v>1335000</v>
      </c>
      <c r="E11" s="11">
        <v>-5975000</v>
      </c>
    </row>
    <row r="12" spans="1:5" ht="21">
      <c r="A12" s="16" t="s">
        <v>19</v>
      </c>
      <c r="B12" s="10">
        <v>9</v>
      </c>
      <c r="C12" s="10">
        <v>5</v>
      </c>
      <c r="D12" s="11">
        <f t="shared" si="0"/>
        <v>595000</v>
      </c>
      <c r="E12" s="11">
        <v>-2820000</v>
      </c>
    </row>
    <row r="13" spans="1:5" ht="21">
      <c r="A13" s="9" t="s">
        <v>39</v>
      </c>
      <c r="B13" s="10">
        <v>18</v>
      </c>
      <c r="C13" s="10">
        <v>15</v>
      </c>
      <c r="D13" s="11">
        <f t="shared" si="0"/>
        <v>1290000</v>
      </c>
      <c r="E13" s="11">
        <v>-3830000</v>
      </c>
    </row>
    <row r="14" spans="1:5" ht="21">
      <c r="A14" s="16" t="s">
        <v>19</v>
      </c>
      <c r="B14" s="10">
        <v>12</v>
      </c>
      <c r="C14" s="10">
        <v>15</v>
      </c>
      <c r="D14" s="11">
        <f t="shared" si="0"/>
        <v>960000</v>
      </c>
      <c r="E14" s="23">
        <v>-3740000</v>
      </c>
    </row>
    <row r="15" spans="1:5" ht="21">
      <c r="A15" s="9" t="s">
        <v>31</v>
      </c>
      <c r="B15" s="10">
        <v>13</v>
      </c>
      <c r="C15" s="10">
        <v>19</v>
      </c>
      <c r="D15" s="11">
        <f t="shared" si="0"/>
        <v>1095000</v>
      </c>
      <c r="E15" s="11">
        <v>-3696000</v>
      </c>
    </row>
    <row r="16" spans="1:5" ht="21">
      <c r="A16" s="15" t="s">
        <v>33</v>
      </c>
      <c r="B16" s="10">
        <v>9</v>
      </c>
      <c r="C16" s="10"/>
      <c r="D16" s="11">
        <f t="shared" si="0"/>
        <v>495000</v>
      </c>
      <c r="E16" s="11">
        <v>-1495000</v>
      </c>
    </row>
    <row r="17" spans="1:6" ht="21">
      <c r="A17" s="15"/>
      <c r="B17" s="10"/>
      <c r="C17" s="10"/>
      <c r="D17" s="11">
        <f t="shared" si="0"/>
        <v>0</v>
      </c>
      <c r="E17" s="11"/>
    </row>
    <row r="18" spans="1:6" ht="21">
      <c r="A18" s="16"/>
      <c r="B18" s="10"/>
      <c r="C18" s="10"/>
      <c r="D18" s="11">
        <f t="shared" si="0"/>
        <v>0</v>
      </c>
      <c r="E18" s="11"/>
    </row>
    <row r="19" spans="1:6" ht="21">
      <c r="A19" s="10"/>
      <c r="B19" s="25"/>
      <c r="C19" s="10"/>
      <c r="D19" s="11">
        <f t="shared" si="0"/>
        <v>0</v>
      </c>
      <c r="E19" s="11"/>
    </row>
    <row r="20" spans="1:6" ht="21">
      <c r="A20" s="16"/>
      <c r="B20" s="25"/>
      <c r="C20" s="10"/>
      <c r="D20" s="11">
        <f t="shared" si="0"/>
        <v>0</v>
      </c>
      <c r="E20" s="11"/>
    </row>
    <row r="21" spans="1:6" ht="21">
      <c r="A21" s="16"/>
      <c r="B21" s="10"/>
      <c r="C21" s="10"/>
      <c r="D21" s="11">
        <f t="shared" si="0"/>
        <v>0</v>
      </c>
      <c r="E21" s="20"/>
    </row>
    <row r="22" spans="1:6" ht="21">
      <c r="A22" s="10"/>
      <c r="B22" s="10"/>
      <c r="C22" s="10"/>
      <c r="D22" s="11">
        <f t="shared" si="0"/>
        <v>0</v>
      </c>
      <c r="E22" s="11"/>
    </row>
    <row r="23" spans="1:6" ht="21">
      <c r="A23" s="27"/>
      <c r="B23" s="10"/>
      <c r="C23" s="10"/>
      <c r="D23" s="11">
        <f t="shared" si="0"/>
        <v>0</v>
      </c>
      <c r="E23" s="11"/>
    </row>
    <row r="24" spans="1:6" ht="21">
      <c r="A24" s="28" t="s">
        <v>29</v>
      </c>
      <c r="B24" s="29">
        <f>SUM(B3:B23)</f>
        <v>217</v>
      </c>
      <c r="C24" s="29">
        <f>SUM(C3:C23)</f>
        <v>202</v>
      </c>
      <c r="D24" s="30">
        <f>SUM(D3:D23)</f>
        <v>15975000</v>
      </c>
      <c r="E24" s="30">
        <f>SUM(E3:E23)</f>
        <v>-62475000</v>
      </c>
    </row>
    <row r="25" spans="1:6" ht="21">
      <c r="A25" s="33"/>
      <c r="B25" s="33"/>
      <c r="C25" s="33"/>
      <c r="D25" s="33"/>
      <c r="E25" s="34"/>
    </row>
    <row r="26" spans="1:6" ht="21">
      <c r="A26" s="36"/>
      <c r="B26" s="37"/>
      <c r="C26" s="37"/>
      <c r="D26" s="37"/>
      <c r="E26" s="38"/>
    </row>
    <row r="27" spans="1:6" ht="22.8">
      <c r="A27" s="10" t="s">
        <v>9</v>
      </c>
      <c r="B27" s="10" t="s">
        <v>40</v>
      </c>
      <c r="C27" s="10" t="s">
        <v>11</v>
      </c>
      <c r="D27" s="37"/>
      <c r="E27" s="37" t="s">
        <v>41</v>
      </c>
      <c r="F27" s="41">
        <f>SUM(D3:D23)</f>
        <v>15975000</v>
      </c>
    </row>
    <row r="28" spans="1:6" ht="22.8">
      <c r="A28" s="10" t="s">
        <v>17</v>
      </c>
      <c r="B28" s="10">
        <v>6</v>
      </c>
      <c r="C28" s="11">
        <f t="shared" ref="C28:C42" si="1">SUM(B28*50000)</f>
        <v>300000</v>
      </c>
      <c r="D28" s="37"/>
      <c r="E28" s="37" t="s">
        <v>42</v>
      </c>
      <c r="F28" s="41">
        <f>E24</f>
        <v>-62475000</v>
      </c>
    </row>
    <row r="29" spans="1:6" ht="22.8">
      <c r="A29" s="43" t="s">
        <v>43</v>
      </c>
      <c r="B29" s="44">
        <v>6</v>
      </c>
      <c r="C29" s="11">
        <f t="shared" si="1"/>
        <v>300000</v>
      </c>
      <c r="D29" s="46"/>
      <c r="E29" s="46" t="s">
        <v>44</v>
      </c>
      <c r="F29" s="41">
        <f>I14</f>
        <v>0</v>
      </c>
    </row>
    <row r="30" spans="1:6" ht="22.8">
      <c r="A30" s="43" t="s">
        <v>23</v>
      </c>
      <c r="B30" s="44">
        <v>6</v>
      </c>
      <c r="C30" s="11">
        <f t="shared" si="1"/>
        <v>300000</v>
      </c>
      <c r="D30" s="46"/>
      <c r="E30" s="46" t="s">
        <v>45</v>
      </c>
      <c r="F30" s="41">
        <v>-258000</v>
      </c>
    </row>
    <row r="31" spans="1:6" ht="22.8">
      <c r="A31" s="43" t="s">
        <v>43</v>
      </c>
      <c r="B31" s="44">
        <v>6</v>
      </c>
      <c r="C31" s="11">
        <f t="shared" si="1"/>
        <v>300000</v>
      </c>
      <c r="D31" s="52"/>
      <c r="E31" s="46" t="s">
        <v>46</v>
      </c>
      <c r="F31" s="41">
        <f>C43</f>
        <v>3400000</v>
      </c>
    </row>
    <row r="32" spans="1:6" ht="22.8">
      <c r="A32" s="43" t="s">
        <v>20</v>
      </c>
      <c r="B32" s="54">
        <v>8</v>
      </c>
      <c r="C32" s="11">
        <f t="shared" si="1"/>
        <v>400000</v>
      </c>
      <c r="D32" s="46"/>
      <c r="E32" s="46"/>
      <c r="F32" s="55"/>
    </row>
    <row r="33" spans="1:6" ht="22.8">
      <c r="A33" s="51" t="s">
        <v>47</v>
      </c>
      <c r="B33" s="51">
        <v>8</v>
      </c>
      <c r="C33" s="11">
        <f t="shared" si="1"/>
        <v>400000</v>
      </c>
      <c r="D33" s="46"/>
      <c r="E33" s="46"/>
      <c r="F33" s="41"/>
    </row>
    <row r="34" spans="1:6" ht="22.8">
      <c r="A34" s="43" t="s">
        <v>36</v>
      </c>
      <c r="B34" s="51">
        <v>12</v>
      </c>
      <c r="C34" s="11">
        <f t="shared" si="1"/>
        <v>600000</v>
      </c>
      <c r="D34" s="52"/>
      <c r="E34" s="46"/>
      <c r="F34" s="41"/>
    </row>
    <row r="35" spans="1:6" ht="22.8">
      <c r="A35" s="43" t="s">
        <v>48</v>
      </c>
      <c r="B35" s="51">
        <v>12</v>
      </c>
      <c r="C35" s="11">
        <f t="shared" si="1"/>
        <v>600000</v>
      </c>
      <c r="D35" s="46"/>
      <c r="E35" s="57" t="s">
        <v>49</v>
      </c>
      <c r="F35" s="41">
        <f>H84</f>
        <v>0</v>
      </c>
    </row>
    <row r="36" spans="1:6" ht="22.8">
      <c r="A36" s="51" t="s">
        <v>27</v>
      </c>
      <c r="B36" s="51">
        <v>2</v>
      </c>
      <c r="C36" s="11">
        <f t="shared" si="1"/>
        <v>100000</v>
      </c>
      <c r="D36" s="46"/>
      <c r="E36" s="46"/>
      <c r="F36" s="41"/>
    </row>
    <row r="37" spans="1:6" ht="24.6">
      <c r="A37" s="51" t="s">
        <v>48</v>
      </c>
      <c r="B37" s="51"/>
      <c r="C37" s="11">
        <f t="shared" si="1"/>
        <v>0</v>
      </c>
      <c r="D37" s="59" t="s">
        <v>50</v>
      </c>
      <c r="E37" s="59"/>
      <c r="F37" s="60">
        <f>SUM(F27+F28+F29+F30+F31+F32+F33-F35)</f>
        <v>-43358000</v>
      </c>
    </row>
    <row r="38" spans="1:6" ht="24.6">
      <c r="A38" s="51" t="s">
        <v>39</v>
      </c>
      <c r="B38" s="51">
        <v>2</v>
      </c>
      <c r="C38" s="11">
        <f t="shared" si="1"/>
        <v>100000</v>
      </c>
      <c r="D38" s="46"/>
      <c r="E38" s="46"/>
      <c r="F38" s="61"/>
    </row>
    <row r="39" spans="1:6" ht="24.6">
      <c r="A39" s="146" t="s">
        <v>51</v>
      </c>
      <c r="B39" s="51"/>
      <c r="C39" s="11">
        <f t="shared" si="1"/>
        <v>0</v>
      </c>
      <c r="D39" s="46" t="s">
        <v>52</v>
      </c>
      <c r="E39" s="46" t="s">
        <v>53</v>
      </c>
      <c r="F39" s="61">
        <f>B105</f>
        <v>0</v>
      </c>
    </row>
    <row r="40" spans="1:6" ht="24.6">
      <c r="A40" s="51"/>
      <c r="B40" s="51"/>
      <c r="C40" s="11">
        <f t="shared" si="1"/>
        <v>0</v>
      </c>
      <c r="D40" s="46"/>
      <c r="E40" s="46"/>
      <c r="F40" s="61"/>
    </row>
    <row r="41" spans="1:6" ht="24.6">
      <c r="A41" s="51"/>
      <c r="B41" s="51"/>
      <c r="C41" s="11">
        <f t="shared" si="1"/>
        <v>0</v>
      </c>
      <c r="D41" s="207" t="s">
        <v>54</v>
      </c>
      <c r="E41" s="207"/>
      <c r="F41" s="62">
        <f>F37-F39</f>
        <v>-43358000</v>
      </c>
    </row>
    <row r="42" spans="1:6" ht="22.8">
      <c r="A42" s="51"/>
      <c r="B42" s="51"/>
      <c r="C42" s="11">
        <f t="shared" si="1"/>
        <v>0</v>
      </c>
      <c r="D42" s="46"/>
      <c r="E42" s="46"/>
    </row>
    <row r="43" spans="1:6" ht="22.8">
      <c r="A43" s="51" t="s">
        <v>29</v>
      </c>
      <c r="B43" s="51">
        <f>SUM(B28:B42)</f>
        <v>68</v>
      </c>
      <c r="C43" s="63">
        <f>SUM(C28:C42)</f>
        <v>3400000</v>
      </c>
      <c r="D43" s="46"/>
      <c r="E43" s="46"/>
    </row>
    <row r="44" spans="1:6" ht="22.8">
      <c r="A44" s="46"/>
      <c r="B44" s="46"/>
      <c r="C44" s="46"/>
      <c r="D44" s="46"/>
      <c r="E44" s="46"/>
    </row>
    <row r="45" spans="1:6" ht="22.8">
      <c r="A45" s="46"/>
      <c r="B45" s="46"/>
      <c r="C45" s="46"/>
      <c r="D45" s="46"/>
      <c r="E45" s="46"/>
    </row>
    <row r="46" spans="1:6" ht="22.8">
      <c r="A46" s="46"/>
      <c r="B46" s="46"/>
      <c r="C46" s="46"/>
      <c r="D46" s="46"/>
      <c r="E46" s="46"/>
    </row>
    <row r="50" spans="1:8" ht="24.6">
      <c r="A50" s="209" t="s">
        <v>55</v>
      </c>
      <c r="B50" s="210"/>
      <c r="C50" s="210"/>
      <c r="D50" s="210"/>
      <c r="E50" s="209" t="s">
        <v>55</v>
      </c>
      <c r="F50" s="210"/>
      <c r="G50" s="210"/>
      <c r="H50" s="210"/>
    </row>
    <row r="51" spans="1:8" ht="22.8">
      <c r="A51" s="66" t="s">
        <v>9</v>
      </c>
      <c r="B51" s="67" t="s">
        <v>56</v>
      </c>
      <c r="C51" s="67" t="s">
        <v>57</v>
      </c>
      <c r="D51" s="67" t="s">
        <v>29</v>
      </c>
      <c r="E51" s="66" t="s">
        <v>9</v>
      </c>
      <c r="F51" s="67" t="s">
        <v>56</v>
      </c>
      <c r="G51" s="67" t="s">
        <v>57</v>
      </c>
      <c r="H51" s="67" t="s">
        <v>29</v>
      </c>
    </row>
    <row r="52" spans="1:8" ht="21">
      <c r="A52" s="69" t="s">
        <v>17</v>
      </c>
      <c r="B52" s="10" t="s">
        <v>58</v>
      </c>
      <c r="C52" s="11">
        <v>1500000</v>
      </c>
      <c r="D52" s="11"/>
      <c r="E52" s="69"/>
      <c r="F52" s="10" t="s">
        <v>59</v>
      </c>
      <c r="G52" s="11"/>
      <c r="H52" s="11">
        <f>D85</f>
        <v>6891000</v>
      </c>
    </row>
    <row r="53" spans="1:8" ht="21">
      <c r="A53" s="71"/>
      <c r="B53" s="25" t="s">
        <v>60</v>
      </c>
      <c r="C53" s="23">
        <v>30000</v>
      </c>
      <c r="D53" s="72"/>
      <c r="E53" s="71" t="s">
        <v>39</v>
      </c>
      <c r="F53" s="25" t="s">
        <v>61</v>
      </c>
      <c r="G53" s="23">
        <v>50000</v>
      </c>
      <c r="H53" s="72"/>
    </row>
    <row r="54" spans="1:8" ht="21">
      <c r="A54" s="69"/>
      <c r="B54" s="10" t="s">
        <v>62</v>
      </c>
      <c r="C54" s="11">
        <v>15000</v>
      </c>
      <c r="D54" s="11"/>
      <c r="E54" s="69"/>
      <c r="F54" s="10" t="s">
        <v>63</v>
      </c>
      <c r="G54" s="11">
        <v>384000</v>
      </c>
      <c r="H54" s="11"/>
    </row>
    <row r="55" spans="1:8" ht="21">
      <c r="A55" s="69"/>
      <c r="B55" s="10"/>
      <c r="C55" s="11"/>
      <c r="D55" s="11"/>
      <c r="E55" s="69"/>
      <c r="F55" s="10"/>
      <c r="G55" s="11"/>
      <c r="H55" s="11"/>
    </row>
    <row r="56" spans="1:8" ht="21">
      <c r="A56" s="69"/>
      <c r="B56" s="74" t="s">
        <v>29</v>
      </c>
      <c r="C56" s="75">
        <f>SUM(C52:C55)</f>
        <v>1545000</v>
      </c>
      <c r="D56" s="11">
        <f>C56</f>
        <v>1545000</v>
      </c>
      <c r="E56" s="69"/>
      <c r="F56" s="74" t="s">
        <v>29</v>
      </c>
      <c r="G56" s="75">
        <f>SUM(G52:G55)</f>
        <v>434000</v>
      </c>
      <c r="H56" s="11">
        <f>G56</f>
        <v>434000</v>
      </c>
    </row>
    <row r="57" spans="1:8" ht="21">
      <c r="A57" s="76" t="s">
        <v>23</v>
      </c>
      <c r="B57" s="10" t="s">
        <v>64</v>
      </c>
      <c r="C57" s="11">
        <v>50000</v>
      </c>
      <c r="D57" s="11"/>
      <c r="E57" s="76" t="s">
        <v>31</v>
      </c>
      <c r="F57" s="10" t="s">
        <v>65</v>
      </c>
      <c r="G57" s="11">
        <v>4030000</v>
      </c>
      <c r="H57" s="11"/>
    </row>
    <row r="58" spans="1:8" ht="21">
      <c r="A58" s="69"/>
      <c r="B58" s="25" t="s">
        <v>66</v>
      </c>
      <c r="C58" s="11">
        <v>40000</v>
      </c>
      <c r="D58" s="20"/>
      <c r="E58" s="69"/>
      <c r="F58" s="25" t="s">
        <v>67</v>
      </c>
      <c r="G58" s="11">
        <v>200000</v>
      </c>
      <c r="H58" s="20"/>
    </row>
    <row r="59" spans="1:8" ht="21">
      <c r="A59" s="69"/>
      <c r="B59" s="10" t="s">
        <v>68</v>
      </c>
      <c r="C59" s="11">
        <v>250000</v>
      </c>
      <c r="D59" s="11"/>
      <c r="E59" s="69"/>
      <c r="F59" s="10" t="s">
        <v>69</v>
      </c>
      <c r="G59" s="11">
        <v>384000</v>
      </c>
      <c r="H59" s="11"/>
    </row>
    <row r="60" spans="1:8" ht="21">
      <c r="A60" s="69"/>
      <c r="B60" s="10" t="s">
        <v>70</v>
      </c>
      <c r="C60" s="11">
        <v>200000</v>
      </c>
      <c r="D60" s="11"/>
      <c r="E60" s="69"/>
      <c r="F60" s="10" t="s">
        <v>71</v>
      </c>
      <c r="G60" s="11">
        <v>15000</v>
      </c>
      <c r="H60" s="11"/>
    </row>
    <row r="61" spans="1:8" ht="21">
      <c r="A61" s="69" t="s">
        <v>72</v>
      </c>
      <c r="B61" s="10" t="s">
        <v>73</v>
      </c>
      <c r="C61" s="11">
        <v>1600000</v>
      </c>
      <c r="D61" s="11"/>
      <c r="E61" s="69"/>
      <c r="F61" s="10" t="s">
        <v>29</v>
      </c>
      <c r="G61" s="11">
        <f>SUM(G57:G60)</f>
        <v>4629000</v>
      </c>
      <c r="H61" s="11">
        <f>G61</f>
        <v>4629000</v>
      </c>
    </row>
    <row r="62" spans="1:8" ht="21">
      <c r="A62" s="69"/>
      <c r="B62" s="10" t="s">
        <v>74</v>
      </c>
      <c r="C62" s="11">
        <v>350000</v>
      </c>
      <c r="D62" s="11"/>
      <c r="E62" s="69"/>
      <c r="F62" s="10"/>
      <c r="G62" s="11"/>
      <c r="H62" s="11"/>
    </row>
    <row r="63" spans="1:8" ht="21">
      <c r="A63" s="69"/>
      <c r="B63" s="10" t="s">
        <v>75</v>
      </c>
      <c r="C63" s="11">
        <v>50000</v>
      </c>
      <c r="D63" s="11"/>
      <c r="E63" s="69"/>
      <c r="F63" s="10"/>
      <c r="G63" s="11"/>
      <c r="H63" s="11"/>
    </row>
    <row r="64" spans="1:8" ht="21">
      <c r="A64" s="69"/>
      <c r="B64" s="10" t="s">
        <v>76</v>
      </c>
      <c r="C64" s="11">
        <v>384000</v>
      </c>
      <c r="D64" s="11"/>
      <c r="E64" s="69"/>
      <c r="F64" s="10"/>
      <c r="G64" s="11"/>
      <c r="H64" s="11"/>
    </row>
    <row r="65" spans="1:8" ht="21">
      <c r="A65" s="69" t="s">
        <v>77</v>
      </c>
      <c r="B65" s="10" t="s">
        <v>78</v>
      </c>
      <c r="C65" s="11">
        <v>200000</v>
      </c>
      <c r="D65" s="11"/>
      <c r="E65" s="69"/>
      <c r="F65" s="10"/>
      <c r="G65" s="11"/>
      <c r="H65" s="11"/>
    </row>
    <row r="66" spans="1:8" ht="21">
      <c r="A66" s="69"/>
      <c r="B66" s="10"/>
      <c r="C66" s="11"/>
      <c r="D66" s="11"/>
      <c r="E66" s="69"/>
      <c r="F66" s="10"/>
      <c r="G66" s="11"/>
      <c r="H66" s="11"/>
    </row>
    <row r="67" spans="1:8" ht="21">
      <c r="A67" s="69"/>
      <c r="B67" s="10"/>
      <c r="C67" s="11"/>
      <c r="D67" s="11"/>
      <c r="E67" s="69"/>
      <c r="F67" s="10"/>
      <c r="G67" s="11"/>
      <c r="H67" s="11"/>
    </row>
    <row r="68" spans="1:8" ht="21">
      <c r="A68" s="69"/>
      <c r="B68" s="10" t="s">
        <v>29</v>
      </c>
      <c r="C68" s="11">
        <f>SUM(C57:C67)</f>
        <v>3124000</v>
      </c>
      <c r="D68" s="11">
        <f>C68</f>
        <v>3124000</v>
      </c>
      <c r="E68" s="69"/>
      <c r="F68" s="10"/>
      <c r="G68" s="11"/>
      <c r="H68" s="11"/>
    </row>
    <row r="69" spans="1:8" ht="21">
      <c r="A69" s="69" t="s">
        <v>36</v>
      </c>
      <c r="B69" s="10" t="s">
        <v>79</v>
      </c>
      <c r="C69" s="11">
        <v>100000</v>
      </c>
      <c r="D69" s="11"/>
      <c r="E69" s="69"/>
      <c r="F69" s="10"/>
      <c r="G69" s="11"/>
      <c r="H69" s="11"/>
    </row>
    <row r="70" spans="1:8" ht="21">
      <c r="A70" s="69"/>
      <c r="B70" s="10" t="s">
        <v>70</v>
      </c>
      <c r="C70" s="11">
        <v>200000</v>
      </c>
      <c r="D70" s="11"/>
      <c r="E70" s="69"/>
      <c r="F70" s="10"/>
      <c r="G70" s="11"/>
      <c r="H70" s="11"/>
    </row>
    <row r="71" spans="1:8" ht="21">
      <c r="A71" s="69"/>
      <c r="B71" s="10" t="s">
        <v>80</v>
      </c>
      <c r="C71" s="11">
        <v>20000</v>
      </c>
      <c r="D71" s="11"/>
      <c r="E71" s="69"/>
      <c r="F71" s="10"/>
      <c r="G71" s="11"/>
      <c r="H71" s="11"/>
    </row>
    <row r="72" spans="1:8" ht="21">
      <c r="A72" s="69"/>
      <c r="B72" s="10" t="s">
        <v>81</v>
      </c>
      <c r="C72" s="11">
        <v>384000</v>
      </c>
      <c r="D72" s="11"/>
      <c r="E72" s="69"/>
      <c r="F72" s="10"/>
      <c r="G72" s="11"/>
      <c r="H72" s="11"/>
    </row>
    <row r="73" spans="1:8" ht="21">
      <c r="A73" s="69"/>
      <c r="B73" s="10"/>
      <c r="C73" s="11"/>
      <c r="D73" s="11"/>
      <c r="E73" s="69"/>
      <c r="F73" s="10"/>
      <c r="G73" s="11"/>
      <c r="H73" s="11"/>
    </row>
    <row r="74" spans="1:8" ht="21">
      <c r="A74" s="69"/>
      <c r="B74" s="74" t="s">
        <v>29</v>
      </c>
      <c r="C74" s="75">
        <f>SUM(C69:C73)</f>
        <v>704000</v>
      </c>
      <c r="D74" s="11">
        <f>C74</f>
        <v>704000</v>
      </c>
      <c r="E74" s="69"/>
      <c r="F74" s="74" t="s">
        <v>29</v>
      </c>
      <c r="G74" s="75"/>
      <c r="H74" s="11">
        <f>G74</f>
        <v>0</v>
      </c>
    </row>
    <row r="75" spans="1:8" ht="21">
      <c r="A75" s="69" t="s">
        <v>27</v>
      </c>
      <c r="B75" s="10" t="s">
        <v>82</v>
      </c>
      <c r="C75" s="11">
        <v>400000</v>
      </c>
      <c r="D75" s="11">
        <f>C75</f>
        <v>400000</v>
      </c>
      <c r="E75" s="69"/>
      <c r="F75" s="10"/>
      <c r="G75" s="11"/>
      <c r="H75" s="11"/>
    </row>
    <row r="76" spans="1:8" ht="21">
      <c r="A76" s="69"/>
      <c r="B76" s="10"/>
      <c r="C76" s="11"/>
      <c r="D76" s="11"/>
      <c r="E76" s="69"/>
      <c r="F76" s="10"/>
      <c r="G76" s="11"/>
      <c r="H76" s="11"/>
    </row>
    <row r="77" spans="1:8" ht="21">
      <c r="A77" s="69"/>
      <c r="B77" s="10" t="s">
        <v>83</v>
      </c>
      <c r="C77" s="11"/>
      <c r="D77" s="11"/>
      <c r="E77" s="69"/>
      <c r="F77" s="10"/>
      <c r="G77" s="11"/>
      <c r="H77" s="11"/>
    </row>
    <row r="78" spans="1:8" ht="21">
      <c r="A78" s="69"/>
      <c r="B78" s="10" t="s">
        <v>84</v>
      </c>
      <c r="C78" s="11">
        <f>48*2*8000</f>
        <v>768000</v>
      </c>
      <c r="D78" s="11">
        <f>C78</f>
        <v>768000</v>
      </c>
      <c r="E78" s="69"/>
      <c r="F78" s="10"/>
      <c r="G78" s="11"/>
      <c r="H78" s="11"/>
    </row>
    <row r="79" spans="1:8" ht="21">
      <c r="A79" s="69"/>
      <c r="B79" s="10"/>
      <c r="C79" s="11"/>
      <c r="D79" s="11"/>
      <c r="E79" s="69"/>
      <c r="F79" s="10"/>
      <c r="G79" s="11"/>
      <c r="H79" s="11"/>
    </row>
    <row r="80" spans="1:8" ht="21">
      <c r="A80" s="69" t="s">
        <v>39</v>
      </c>
      <c r="B80" s="10" t="s">
        <v>85</v>
      </c>
      <c r="C80" s="11">
        <v>60000</v>
      </c>
      <c r="D80" s="11"/>
      <c r="E80" s="69"/>
      <c r="F80" s="10"/>
      <c r="G80" s="11"/>
      <c r="H80" s="11"/>
    </row>
    <row r="81" spans="1:8" ht="21">
      <c r="A81" s="69"/>
      <c r="B81" s="10" t="s">
        <v>86</v>
      </c>
      <c r="C81" s="11">
        <v>50000</v>
      </c>
      <c r="D81" s="11"/>
      <c r="E81" s="69"/>
      <c r="F81" s="10"/>
      <c r="G81" s="11"/>
      <c r="H81" s="11"/>
    </row>
    <row r="82" spans="1:8" ht="20.399999999999999">
      <c r="A82" s="147"/>
      <c r="B82" s="148" t="s">
        <v>87</v>
      </c>
      <c r="C82" s="149">
        <v>40000</v>
      </c>
      <c r="D82" s="149"/>
      <c r="E82" s="147"/>
      <c r="F82" s="148"/>
      <c r="G82" s="149"/>
      <c r="H82" s="149"/>
    </row>
    <row r="83" spans="1:8" ht="20.399999999999999">
      <c r="A83" s="147"/>
      <c r="B83" s="148" t="s">
        <v>88</v>
      </c>
      <c r="C83" s="149">
        <v>200000</v>
      </c>
      <c r="D83" s="149"/>
      <c r="E83" s="147"/>
      <c r="F83" s="148"/>
      <c r="G83" s="149"/>
      <c r="H83" s="149"/>
    </row>
    <row r="84" spans="1:8" ht="20.399999999999999">
      <c r="A84" s="147"/>
      <c r="B84" s="148" t="s">
        <v>29</v>
      </c>
      <c r="C84" s="149">
        <f>SUM(C80:C83)</f>
        <v>350000</v>
      </c>
      <c r="D84" s="149">
        <f>C84</f>
        <v>350000</v>
      </c>
      <c r="E84" s="147"/>
      <c r="F84" s="148" t="s">
        <v>29</v>
      </c>
      <c r="G84" s="149">
        <f>SUM(G75:G83)</f>
        <v>0</v>
      </c>
      <c r="H84" s="149"/>
    </row>
    <row r="85" spans="1:8" ht="21">
      <c r="A85" s="147"/>
      <c r="B85" s="25"/>
      <c r="C85" s="149"/>
      <c r="D85" s="149">
        <f>SUM(D54:D84)</f>
        <v>6891000</v>
      </c>
      <c r="E85" s="147"/>
      <c r="F85" s="25"/>
      <c r="G85" s="149"/>
      <c r="H85" s="149">
        <f>SUM(H52:H84)</f>
        <v>11954000</v>
      </c>
    </row>
    <row r="86" spans="1:8" ht="22.8">
      <c r="F86" s="150"/>
    </row>
    <row r="88" spans="1:8">
      <c r="A88" s="213" t="s">
        <v>89</v>
      </c>
      <c r="B88" s="213"/>
      <c r="C88" s="213"/>
    </row>
    <row r="89" spans="1:8">
      <c r="A89" s="213"/>
      <c r="B89" s="213"/>
      <c r="C89" s="213"/>
    </row>
    <row r="90" spans="1:8" ht="17.399999999999999">
      <c r="A90" s="110" t="s">
        <v>9</v>
      </c>
      <c r="B90" s="110" t="s">
        <v>90</v>
      </c>
      <c r="C90" s="111" t="s">
        <v>91</v>
      </c>
    </row>
    <row r="91" spans="1:8" ht="17.399999999999999">
      <c r="A91" s="110" t="s">
        <v>17</v>
      </c>
      <c r="B91" s="112">
        <f>C123</f>
        <v>0</v>
      </c>
      <c r="C91" s="113" t="s">
        <v>92</v>
      </c>
    </row>
    <row r="92" spans="1:8" ht="17.399999999999999">
      <c r="A92" s="110" t="s">
        <v>23</v>
      </c>
      <c r="B92" s="112">
        <f>C147</f>
        <v>0</v>
      </c>
      <c r="C92" s="113" t="s">
        <v>92</v>
      </c>
    </row>
    <row r="93" spans="1:8" ht="17.399999999999999">
      <c r="A93" s="110" t="s">
        <v>77</v>
      </c>
      <c r="B93" s="112">
        <f>C170</f>
        <v>0</v>
      </c>
      <c r="C93" s="113"/>
    </row>
    <row r="94" spans="1:8" ht="17.399999999999999">
      <c r="A94" s="110" t="s">
        <v>36</v>
      </c>
      <c r="B94" s="112">
        <f>C190</f>
        <v>0</v>
      </c>
      <c r="C94" s="113"/>
    </row>
    <row r="95" spans="1:8" ht="17.399999999999999">
      <c r="A95" s="110" t="s">
        <v>38</v>
      </c>
      <c r="B95" s="112">
        <f>C210</f>
        <v>0</v>
      </c>
      <c r="C95" s="113"/>
    </row>
    <row r="96" spans="1:8" ht="17.399999999999999">
      <c r="A96" s="111" t="s">
        <v>39</v>
      </c>
      <c r="B96" s="112">
        <f>C228</f>
        <v>0</v>
      </c>
      <c r="C96" s="113"/>
    </row>
    <row r="97" spans="1:4" ht="17.399999999999999">
      <c r="A97" s="110" t="s">
        <v>31</v>
      </c>
      <c r="B97" s="112">
        <f>C250</f>
        <v>0</v>
      </c>
      <c r="C97" s="113"/>
    </row>
    <row r="98" spans="1:4" ht="17.399999999999999">
      <c r="A98" s="110"/>
      <c r="B98" s="112"/>
      <c r="C98" s="113"/>
    </row>
    <row r="99" spans="1:4" ht="17.399999999999999">
      <c r="A99" s="110"/>
      <c r="B99" s="112"/>
      <c r="C99" s="113"/>
    </row>
    <row r="100" spans="1:4" ht="17.399999999999999">
      <c r="A100" s="110"/>
      <c r="B100" s="112"/>
      <c r="C100" s="113"/>
    </row>
    <row r="101" spans="1:4" ht="17.399999999999999">
      <c r="A101" s="110"/>
      <c r="B101" s="112"/>
      <c r="C101" s="113"/>
    </row>
    <row r="102" spans="1:4" ht="17.399999999999999">
      <c r="A102" s="110"/>
      <c r="B102" s="112"/>
      <c r="C102" s="113"/>
    </row>
    <row r="103" spans="1:4" ht="17.399999999999999">
      <c r="A103" s="110"/>
      <c r="B103" s="112"/>
      <c r="C103" s="113"/>
    </row>
    <row r="104" spans="1:4" ht="17.399999999999999">
      <c r="A104" s="110"/>
      <c r="B104" s="112"/>
      <c r="C104" s="113"/>
    </row>
    <row r="105" spans="1:4" ht="17.399999999999999">
      <c r="A105" s="110"/>
      <c r="B105" s="112"/>
      <c r="C105" s="113"/>
    </row>
    <row r="106" spans="1:4" ht="17.399999999999999">
      <c r="A106" s="124" t="s">
        <v>50</v>
      </c>
      <c r="B106" s="125">
        <f>SUM(B91:B105)</f>
        <v>0</v>
      </c>
      <c r="C106" s="124"/>
    </row>
    <row r="110" spans="1:4" ht="17.399999999999999">
      <c r="A110" s="211" t="s">
        <v>93</v>
      </c>
      <c r="B110" s="211"/>
      <c r="C110" s="211"/>
      <c r="D110" s="151"/>
    </row>
    <row r="111" spans="1:4" ht="17.399999999999999">
      <c r="A111" s="212"/>
      <c r="B111" s="212"/>
      <c r="C111" s="212"/>
      <c r="D111" s="151"/>
    </row>
    <row r="112" spans="1:4" ht="17.399999999999999">
      <c r="A112" s="114" t="s">
        <v>94</v>
      </c>
      <c r="B112" s="115" t="s">
        <v>95</v>
      </c>
      <c r="C112" s="116" t="s">
        <v>96</v>
      </c>
    </row>
    <row r="113" spans="1:4" ht="22.8">
      <c r="A113" s="117"/>
      <c r="B113" s="118" t="s">
        <v>97</v>
      </c>
      <c r="C113" s="119">
        <v>800000</v>
      </c>
      <c r="D113" s="150"/>
    </row>
    <row r="114" spans="1:4" ht="17.399999999999999">
      <c r="A114" s="120"/>
      <c r="B114" s="111" t="s">
        <v>98</v>
      </c>
      <c r="C114" s="121">
        <v>800000</v>
      </c>
    </row>
    <row r="115" spans="1:4" ht="17.399999999999999">
      <c r="A115" s="120"/>
      <c r="B115" s="111" t="s">
        <v>99</v>
      </c>
      <c r="C115" s="121">
        <v>2800000</v>
      </c>
    </row>
    <row r="116" spans="1:4" ht="17.399999999999999">
      <c r="A116" s="120" t="s">
        <v>100</v>
      </c>
      <c r="B116" s="111" t="s">
        <v>101</v>
      </c>
      <c r="C116" s="121">
        <v>120000</v>
      </c>
    </row>
    <row r="117" spans="1:4" ht="17.399999999999999">
      <c r="A117" s="120" t="s">
        <v>33</v>
      </c>
      <c r="B117" s="111"/>
      <c r="C117" s="121"/>
    </row>
    <row r="118" spans="1:4" ht="17.399999999999999">
      <c r="A118" s="120"/>
      <c r="B118" s="111" t="s">
        <v>102</v>
      </c>
      <c r="C118" s="121">
        <v>600000</v>
      </c>
    </row>
    <row r="119" spans="1:4" ht="17.399999999999999">
      <c r="A119" s="120"/>
      <c r="B119" s="111" t="s">
        <v>103</v>
      </c>
      <c r="C119" s="121">
        <v>480000</v>
      </c>
    </row>
    <row r="120" spans="1:4" ht="17.399999999999999">
      <c r="A120" s="120"/>
      <c r="B120" s="111"/>
      <c r="C120" s="121"/>
    </row>
    <row r="121" spans="1:4" ht="17.399999999999999">
      <c r="A121" s="120"/>
      <c r="B121" s="111"/>
      <c r="C121" s="121"/>
    </row>
    <row r="122" spans="1:4" ht="17.399999999999999">
      <c r="A122" s="120"/>
      <c r="B122" s="111"/>
      <c r="C122" s="121"/>
    </row>
    <row r="123" spans="1:4" ht="17.399999999999999">
      <c r="A123" s="120"/>
      <c r="B123" s="111"/>
      <c r="C123" s="121"/>
    </row>
    <row r="124" spans="1:4" ht="17.399999999999999">
      <c r="A124" s="152" t="s">
        <v>29</v>
      </c>
      <c r="B124" s="153"/>
      <c r="C124" s="154">
        <f>SUM(C113:C123)</f>
        <v>5600000</v>
      </c>
    </row>
  </sheetData>
  <mergeCells count="6">
    <mergeCell ref="A110:C111"/>
    <mergeCell ref="A1:D1"/>
    <mergeCell ref="D41:E41"/>
    <mergeCell ref="A50:D50"/>
    <mergeCell ref="E50:H50"/>
    <mergeCell ref="A88:C8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9"/>
  <sheetViews>
    <sheetView zoomScale="60" zoomScaleNormal="60" workbookViewId="0">
      <selection activeCell="E101" sqref="E101"/>
    </sheetView>
  </sheetViews>
  <sheetFormatPr defaultColWidth="10" defaultRowHeight="17.399999999999999"/>
  <cols>
    <col min="1" max="1" width="10" style="97" customWidth="1"/>
    <col min="2" max="2" width="20.296875" style="129" customWidth="1"/>
    <col min="3" max="3" width="19.8984375" style="140" customWidth="1"/>
    <col min="4" max="4" width="18.59765625" style="140" customWidth="1"/>
    <col min="5" max="5" width="15.59765625" customWidth="1"/>
    <col min="6" max="6" width="14.3984375" customWidth="1"/>
  </cols>
  <sheetData>
    <row r="1" spans="2:6" ht="42.15" customHeight="1"/>
    <row r="2" spans="2:6">
      <c r="D2" s="3" t="s">
        <v>441</v>
      </c>
      <c r="E2" s="3"/>
    </row>
    <row r="4" spans="2:6" ht="20.399999999999999">
      <c r="B4" s="218" t="s">
        <v>442</v>
      </c>
      <c r="C4" s="218"/>
      <c r="D4" s="218"/>
      <c r="E4" s="218"/>
      <c r="F4" s="218"/>
    </row>
    <row r="5" spans="2:6">
      <c r="B5" s="2" t="s">
        <v>443</v>
      </c>
      <c r="C5" s="3" t="s">
        <v>9</v>
      </c>
      <c r="D5" s="2" t="s">
        <v>94</v>
      </c>
      <c r="E5" s="3" t="s">
        <v>239</v>
      </c>
      <c r="F5" s="3" t="s">
        <v>444</v>
      </c>
    </row>
    <row r="6" spans="2:6">
      <c r="B6" s="2">
        <v>1</v>
      </c>
      <c r="C6" s="3" t="s">
        <v>23</v>
      </c>
      <c r="D6" s="3" t="s">
        <v>320</v>
      </c>
      <c r="E6" s="3" t="s">
        <v>445</v>
      </c>
      <c r="F6" s="3">
        <v>9.57</v>
      </c>
    </row>
    <row r="7" spans="2:6">
      <c r="B7" s="2">
        <v>2</v>
      </c>
      <c r="C7" s="3"/>
      <c r="D7" s="3" t="s">
        <v>114</v>
      </c>
      <c r="E7" s="3" t="s">
        <v>446</v>
      </c>
      <c r="F7" s="3">
        <v>9.6300000000000008</v>
      </c>
    </row>
    <row r="8" spans="2:6">
      <c r="B8" s="2">
        <v>3</v>
      </c>
      <c r="C8" s="3"/>
      <c r="D8" s="3" t="s">
        <v>320</v>
      </c>
      <c r="E8" s="3" t="s">
        <v>445</v>
      </c>
      <c r="F8" s="3">
        <v>9.43</v>
      </c>
    </row>
    <row r="9" spans="2:6">
      <c r="B9" s="2">
        <v>4</v>
      </c>
      <c r="C9" s="3"/>
      <c r="D9" s="3" t="s">
        <v>116</v>
      </c>
      <c r="E9" s="3" t="s">
        <v>447</v>
      </c>
      <c r="F9" s="3">
        <v>9.6300000000000008</v>
      </c>
    </row>
    <row r="10" spans="2:6">
      <c r="B10" s="2">
        <v>5</v>
      </c>
      <c r="C10" s="3" t="s">
        <v>77</v>
      </c>
      <c r="D10" s="3" t="s">
        <v>203</v>
      </c>
      <c r="E10" s="3" t="s">
        <v>448</v>
      </c>
      <c r="F10" s="3">
        <v>9.84</v>
      </c>
    </row>
    <row r="11" spans="2:6">
      <c r="B11" s="2">
        <v>6</v>
      </c>
      <c r="C11" s="3"/>
      <c r="D11" s="3" t="s">
        <v>320</v>
      </c>
      <c r="E11" s="3" t="s">
        <v>445</v>
      </c>
      <c r="F11" s="4">
        <v>9.57</v>
      </c>
    </row>
    <row r="12" spans="2:6">
      <c r="B12" s="2">
        <v>7</v>
      </c>
      <c r="C12" s="3"/>
      <c r="D12" s="3" t="s">
        <v>320</v>
      </c>
      <c r="E12" s="3" t="s">
        <v>445</v>
      </c>
      <c r="F12" s="3">
        <v>9.84</v>
      </c>
    </row>
    <row r="13" spans="2:6">
      <c r="B13" s="2">
        <v>8</v>
      </c>
      <c r="C13" s="3"/>
      <c r="D13" s="3" t="s">
        <v>116</v>
      </c>
      <c r="E13" s="3" t="s">
        <v>447</v>
      </c>
      <c r="F13" s="3">
        <v>9.2200000000000006</v>
      </c>
    </row>
    <row r="14" spans="2:6">
      <c r="B14" s="2"/>
      <c r="C14" s="3"/>
      <c r="D14" s="3"/>
      <c r="E14" s="3"/>
      <c r="F14" s="3"/>
    </row>
    <row r="15" spans="2:6">
      <c r="B15" s="2"/>
      <c r="C15" s="3"/>
      <c r="D15" s="3"/>
      <c r="E15" s="3"/>
      <c r="F15" s="3"/>
    </row>
    <row r="16" spans="2:6">
      <c r="B16" s="3"/>
      <c r="C16" s="2" t="s">
        <v>29</v>
      </c>
      <c r="D16" s="3"/>
      <c r="E16" s="3"/>
      <c r="F16" s="3"/>
    </row>
    <row r="19" spans="1:6">
      <c r="A19"/>
    </row>
    <row r="25" spans="1:6" ht="20.399999999999999">
      <c r="B25" s="218" t="s">
        <v>449</v>
      </c>
      <c r="C25" s="218"/>
      <c r="D25" s="218"/>
      <c r="E25" s="218"/>
      <c r="F25" s="218"/>
    </row>
    <row r="26" spans="1:6">
      <c r="B26" s="2" t="s">
        <v>443</v>
      </c>
      <c r="C26" s="3" t="s">
        <v>9</v>
      </c>
      <c r="D26" s="2" t="s">
        <v>94</v>
      </c>
      <c r="E26" s="3" t="s">
        <v>239</v>
      </c>
      <c r="F26" s="3" t="s">
        <v>444</v>
      </c>
    </row>
    <row r="27" spans="1:6">
      <c r="B27" s="2">
        <v>1</v>
      </c>
      <c r="C27" s="3" t="s">
        <v>17</v>
      </c>
      <c r="D27" s="3" t="s">
        <v>450</v>
      </c>
      <c r="E27" s="3" t="s">
        <v>441</v>
      </c>
      <c r="F27" s="4">
        <v>9.84</v>
      </c>
    </row>
    <row r="28" spans="1:6">
      <c r="B28" s="2">
        <v>2</v>
      </c>
      <c r="C28" s="3" t="s">
        <v>23</v>
      </c>
      <c r="D28" s="3" t="s">
        <v>450</v>
      </c>
      <c r="E28" s="3" t="s">
        <v>441</v>
      </c>
      <c r="F28" s="3">
        <v>9.77</v>
      </c>
    </row>
    <row r="29" spans="1:6">
      <c r="B29" s="2">
        <v>3</v>
      </c>
      <c r="C29" s="3" t="s">
        <v>77</v>
      </c>
      <c r="D29" s="3" t="s">
        <v>451</v>
      </c>
      <c r="E29" s="3" t="s">
        <v>452</v>
      </c>
      <c r="F29" s="3">
        <v>9.7799999999999994</v>
      </c>
    </row>
    <row r="30" spans="1:6">
      <c r="B30" s="2">
        <v>4</v>
      </c>
      <c r="C30" s="3"/>
      <c r="D30" s="3" t="s">
        <v>114</v>
      </c>
      <c r="E30" s="3" t="s">
        <v>446</v>
      </c>
      <c r="F30" s="3">
        <v>9.36</v>
      </c>
    </row>
    <row r="31" spans="1:6">
      <c r="B31" s="2">
        <v>5</v>
      </c>
      <c r="C31" s="3"/>
      <c r="D31" s="3" t="s">
        <v>453</v>
      </c>
      <c r="E31" s="3" t="s">
        <v>441</v>
      </c>
      <c r="F31" s="3">
        <v>9.77</v>
      </c>
    </row>
    <row r="32" spans="1:6">
      <c r="B32" s="2">
        <v>6</v>
      </c>
      <c r="C32" s="3"/>
      <c r="D32" s="3" t="s">
        <v>453</v>
      </c>
      <c r="E32" s="3" t="s">
        <v>441</v>
      </c>
      <c r="F32" s="3">
        <v>9.98</v>
      </c>
    </row>
    <row r="33" spans="2:6">
      <c r="B33" s="2">
        <v>7</v>
      </c>
      <c r="C33" s="3"/>
      <c r="D33" s="3" t="s">
        <v>114</v>
      </c>
      <c r="E33" s="3" t="s">
        <v>446</v>
      </c>
      <c r="F33" s="3">
        <v>9.2899999999999991</v>
      </c>
    </row>
    <row r="34" spans="2:6">
      <c r="B34" s="2">
        <v>8</v>
      </c>
      <c r="C34" s="3"/>
      <c r="D34" s="3" t="s">
        <v>454</v>
      </c>
      <c r="E34" s="3" t="s">
        <v>455</v>
      </c>
      <c r="F34" s="3">
        <v>9.27</v>
      </c>
    </row>
    <row r="35" spans="2:6">
      <c r="B35" s="2">
        <v>9</v>
      </c>
      <c r="C35" s="3"/>
      <c r="D35" s="3" t="s">
        <v>456</v>
      </c>
      <c r="E35" s="3" t="s">
        <v>455</v>
      </c>
      <c r="F35" s="3">
        <v>9.84</v>
      </c>
    </row>
    <row r="36" spans="2:6">
      <c r="B36" s="2">
        <v>10</v>
      </c>
      <c r="C36" s="3"/>
      <c r="D36" s="3" t="s">
        <v>116</v>
      </c>
      <c r="E36" s="3" t="s">
        <v>457</v>
      </c>
      <c r="F36" s="4">
        <v>9.6999999999999993</v>
      </c>
    </row>
    <row r="37" spans="2:6">
      <c r="B37" s="3"/>
      <c r="C37" s="2" t="s">
        <v>29</v>
      </c>
      <c r="D37" s="3"/>
      <c r="E37" s="3"/>
      <c r="F37" s="3">
        <f>SUM(F27:F36)</f>
        <v>96.6</v>
      </c>
    </row>
    <row r="40" spans="2:6" ht="20.399999999999999">
      <c r="B40" s="218" t="s">
        <v>458</v>
      </c>
      <c r="C40" s="218"/>
      <c r="D40" s="218"/>
      <c r="E40" s="218"/>
      <c r="F40" s="218"/>
    </row>
    <row r="41" spans="2:6">
      <c r="B41" s="2" t="s">
        <v>443</v>
      </c>
      <c r="C41" s="3" t="s">
        <v>9</v>
      </c>
      <c r="D41" s="2" t="s">
        <v>94</v>
      </c>
      <c r="E41" s="3" t="s">
        <v>239</v>
      </c>
      <c r="F41" s="3" t="s">
        <v>444</v>
      </c>
    </row>
    <row r="42" spans="2:6">
      <c r="B42" s="2">
        <v>1</v>
      </c>
      <c r="C42" s="3" t="s">
        <v>319</v>
      </c>
      <c r="D42" s="3" t="s">
        <v>116</v>
      </c>
      <c r="E42" s="3" t="s">
        <v>457</v>
      </c>
      <c r="F42" s="4">
        <v>7.97</v>
      </c>
    </row>
    <row r="43" spans="2:6">
      <c r="B43" s="2">
        <v>2</v>
      </c>
      <c r="C43" s="3" t="s">
        <v>23</v>
      </c>
      <c r="D43" s="3" t="s">
        <v>116</v>
      </c>
      <c r="E43" s="3" t="s">
        <v>457</v>
      </c>
      <c r="F43" s="3">
        <v>9.36</v>
      </c>
    </row>
    <row r="44" spans="2:6">
      <c r="B44" s="2"/>
      <c r="C44" s="3"/>
      <c r="D44" s="3"/>
      <c r="E44" s="3"/>
      <c r="F44" s="3"/>
    </row>
    <row r="45" spans="2:6">
      <c r="B45" s="2"/>
      <c r="C45" s="3"/>
      <c r="D45" s="3"/>
      <c r="E45" s="3"/>
      <c r="F45" s="3"/>
    </row>
    <row r="46" spans="2:6">
      <c r="B46" s="2"/>
      <c r="C46" s="3"/>
      <c r="D46" s="3"/>
      <c r="E46" s="3"/>
      <c r="F46" s="3"/>
    </row>
    <row r="47" spans="2:6">
      <c r="B47" s="2"/>
      <c r="C47" s="3"/>
      <c r="D47" s="3"/>
      <c r="E47" s="3"/>
      <c r="F47" s="3"/>
    </row>
    <row r="48" spans="2:6">
      <c r="B48" s="2"/>
      <c r="C48" s="3"/>
      <c r="D48" s="3"/>
      <c r="E48" s="3"/>
      <c r="F48" s="3"/>
    </row>
    <row r="49" spans="2:6">
      <c r="B49" s="2"/>
      <c r="C49" s="3"/>
      <c r="D49" s="3"/>
      <c r="E49" s="3"/>
      <c r="F49" s="3"/>
    </row>
    <row r="50" spans="2:6">
      <c r="B50" s="2"/>
      <c r="C50" s="3"/>
      <c r="D50" s="3"/>
      <c r="E50" s="3"/>
      <c r="F50" s="3"/>
    </row>
    <row r="51" spans="2:6">
      <c r="B51" s="2"/>
      <c r="C51" s="3"/>
      <c r="D51" s="3"/>
      <c r="E51" s="3"/>
      <c r="F51" s="4"/>
    </row>
    <row r="52" spans="2:6">
      <c r="B52" s="3"/>
      <c r="C52" s="2" t="s">
        <v>29</v>
      </c>
      <c r="D52" s="3"/>
      <c r="E52" s="3"/>
      <c r="F52" s="3">
        <f>SUM(F42:F51)</f>
        <v>17.329999999999998</v>
      </c>
    </row>
    <row r="58" spans="2:6" ht="21">
      <c r="B58" s="219" t="s">
        <v>442</v>
      </c>
      <c r="C58" s="220"/>
      <c r="D58" s="220"/>
      <c r="E58" s="220"/>
      <c r="F58" s="221"/>
    </row>
    <row r="59" spans="2:6">
      <c r="B59" s="133" t="s">
        <v>443</v>
      </c>
      <c r="C59" s="110" t="s">
        <v>9</v>
      </c>
      <c r="D59" s="113" t="s">
        <v>94</v>
      </c>
      <c r="E59" s="110" t="s">
        <v>239</v>
      </c>
      <c r="F59" s="136" t="s">
        <v>444</v>
      </c>
    </row>
    <row r="60" spans="2:6">
      <c r="B60" s="133">
        <v>1</v>
      </c>
      <c r="C60" s="110" t="s">
        <v>36</v>
      </c>
      <c r="D60" s="110" t="s">
        <v>320</v>
      </c>
      <c r="E60" s="110" t="s">
        <v>445</v>
      </c>
      <c r="F60" s="136">
        <v>9.98</v>
      </c>
    </row>
    <row r="61" spans="2:6">
      <c r="B61" s="133">
        <v>2</v>
      </c>
      <c r="C61" s="110"/>
      <c r="D61" s="110" t="s">
        <v>116</v>
      </c>
      <c r="E61" s="110" t="s">
        <v>447</v>
      </c>
      <c r="F61" s="136">
        <v>9.84</v>
      </c>
    </row>
    <row r="62" spans="2:6">
      <c r="B62" s="133">
        <v>3</v>
      </c>
      <c r="C62" s="110"/>
      <c r="D62" s="110" t="s">
        <v>203</v>
      </c>
      <c r="E62" s="110" t="s">
        <v>448</v>
      </c>
      <c r="F62" s="136">
        <v>9.84</v>
      </c>
    </row>
    <row r="63" spans="2:6">
      <c r="B63" s="133">
        <v>4</v>
      </c>
      <c r="C63" s="110"/>
      <c r="D63" s="110" t="s">
        <v>459</v>
      </c>
      <c r="E63" s="110" t="s">
        <v>441</v>
      </c>
      <c r="F63" s="136">
        <v>9.6300000000000008</v>
      </c>
    </row>
    <row r="64" spans="2:6">
      <c r="B64" s="133">
        <v>5</v>
      </c>
      <c r="C64" s="110"/>
      <c r="D64" s="110" t="s">
        <v>116</v>
      </c>
      <c r="E64" s="110" t="s">
        <v>447</v>
      </c>
      <c r="F64" s="141">
        <v>9.6999999999999993</v>
      </c>
    </row>
    <row r="65" spans="2:6">
      <c r="B65" s="133">
        <v>6</v>
      </c>
      <c r="C65" s="110"/>
      <c r="D65" s="110" t="s">
        <v>451</v>
      </c>
      <c r="E65" s="110" t="s">
        <v>452</v>
      </c>
      <c r="F65" s="141">
        <v>9.57</v>
      </c>
    </row>
    <row r="66" spans="2:6">
      <c r="B66" s="133">
        <v>7</v>
      </c>
      <c r="C66" s="110"/>
      <c r="D66" s="110" t="s">
        <v>203</v>
      </c>
      <c r="E66" s="110" t="s">
        <v>448</v>
      </c>
      <c r="F66" s="136">
        <v>10.19</v>
      </c>
    </row>
    <row r="67" spans="2:6">
      <c r="B67" s="133"/>
      <c r="C67" s="110"/>
      <c r="D67" s="110"/>
      <c r="E67" s="110"/>
      <c r="F67" s="136"/>
    </row>
    <row r="68" spans="2:6">
      <c r="B68" s="133"/>
      <c r="C68" s="110"/>
      <c r="D68" s="110"/>
      <c r="E68" s="110"/>
      <c r="F68" s="136"/>
    </row>
    <row r="69" spans="2:6">
      <c r="B69" s="133"/>
      <c r="C69" s="110"/>
      <c r="D69" s="110"/>
      <c r="E69" s="110"/>
      <c r="F69" s="136"/>
    </row>
    <row r="70" spans="2:6">
      <c r="B70" s="137"/>
      <c r="C70" s="142" t="s">
        <v>29</v>
      </c>
      <c r="D70" s="138"/>
      <c r="E70" s="138"/>
      <c r="F70" s="143">
        <f>SUM(F60:F68)</f>
        <v>68.75</v>
      </c>
    </row>
    <row r="77" spans="2:6" ht="21">
      <c r="B77" s="219" t="s">
        <v>460</v>
      </c>
      <c r="C77" s="220"/>
      <c r="D77" s="220"/>
      <c r="E77" s="220"/>
      <c r="F77" s="221"/>
    </row>
    <row r="78" spans="2:6">
      <c r="B78" s="133" t="s">
        <v>443</v>
      </c>
      <c r="C78" s="110" t="s">
        <v>9</v>
      </c>
      <c r="D78" s="113" t="s">
        <v>94</v>
      </c>
      <c r="E78" s="110" t="s">
        <v>239</v>
      </c>
      <c r="F78" s="136" t="s">
        <v>444</v>
      </c>
    </row>
    <row r="79" spans="2:6">
      <c r="B79" s="133">
        <v>1</v>
      </c>
      <c r="C79" s="110" t="s">
        <v>77</v>
      </c>
      <c r="D79" s="110" t="s">
        <v>456</v>
      </c>
      <c r="E79" s="110" t="s">
        <v>461</v>
      </c>
      <c r="F79" s="136">
        <v>10.050000000000001</v>
      </c>
    </row>
    <row r="80" spans="2:6">
      <c r="B80" s="133">
        <v>2</v>
      </c>
      <c r="C80" s="110" t="s">
        <v>36</v>
      </c>
      <c r="D80" s="110" t="s">
        <v>320</v>
      </c>
      <c r="E80" s="110" t="s">
        <v>445</v>
      </c>
      <c r="F80" s="136">
        <v>9.64</v>
      </c>
    </row>
    <row r="81" spans="2:6">
      <c r="B81" s="133">
        <v>3</v>
      </c>
      <c r="C81" s="110"/>
      <c r="D81" s="110" t="s">
        <v>459</v>
      </c>
      <c r="E81" s="110" t="s">
        <v>441</v>
      </c>
      <c r="F81" s="136">
        <v>10.050000000000001</v>
      </c>
    </row>
    <row r="82" spans="2:6">
      <c r="B82" s="133">
        <v>4</v>
      </c>
      <c r="C82" s="110"/>
      <c r="D82" s="110" t="s">
        <v>451</v>
      </c>
      <c r="E82" s="110" t="s">
        <v>452</v>
      </c>
      <c r="F82" s="136">
        <v>9.56</v>
      </c>
    </row>
    <row r="83" spans="2:6">
      <c r="B83" s="133">
        <v>5</v>
      </c>
      <c r="C83" s="110"/>
      <c r="D83" s="110" t="s">
        <v>462</v>
      </c>
      <c r="E83" s="110" t="s">
        <v>461</v>
      </c>
      <c r="F83" s="136">
        <v>9.27</v>
      </c>
    </row>
    <row r="84" spans="2:6">
      <c r="B84" s="133">
        <v>6</v>
      </c>
      <c r="C84" s="110"/>
      <c r="D84" s="110" t="s">
        <v>203</v>
      </c>
      <c r="E84" s="110" t="s">
        <v>448</v>
      </c>
      <c r="F84" s="141">
        <v>9.9700000000000006</v>
      </c>
    </row>
    <row r="85" spans="2:6">
      <c r="B85" s="133">
        <v>7</v>
      </c>
      <c r="C85" s="110"/>
      <c r="D85" s="110" t="s">
        <v>456</v>
      </c>
      <c r="E85" s="110" t="s">
        <v>461</v>
      </c>
      <c r="F85" s="136">
        <v>9.98</v>
      </c>
    </row>
    <row r="86" spans="2:6">
      <c r="B86" s="133">
        <v>8</v>
      </c>
      <c r="C86" s="110"/>
      <c r="D86" s="110" t="s">
        <v>463</v>
      </c>
      <c r="E86" s="110" t="s">
        <v>464</v>
      </c>
      <c r="F86" s="136">
        <v>9.2899999999999991</v>
      </c>
    </row>
    <row r="87" spans="2:6">
      <c r="B87" s="133">
        <v>9</v>
      </c>
      <c r="C87" s="110"/>
      <c r="D87" s="110" t="s">
        <v>451</v>
      </c>
      <c r="E87" s="110" t="s">
        <v>452</v>
      </c>
      <c r="F87" s="136">
        <v>9.7799999999999994</v>
      </c>
    </row>
    <row r="88" spans="2:6">
      <c r="B88" s="133">
        <v>10</v>
      </c>
      <c r="C88" s="110"/>
      <c r="D88" s="110" t="s">
        <v>453</v>
      </c>
      <c r="E88" s="110" t="s">
        <v>441</v>
      </c>
      <c r="F88" s="136">
        <v>9.84</v>
      </c>
    </row>
    <row r="89" spans="2:6">
      <c r="B89" s="137"/>
      <c r="C89" s="142" t="s">
        <v>29</v>
      </c>
      <c r="D89" s="138"/>
      <c r="E89" s="138"/>
      <c r="F89" s="144">
        <f>SUM(F79:F88)</f>
        <v>97.43</v>
      </c>
    </row>
  </sheetData>
  <mergeCells count="5">
    <mergeCell ref="B4:F4"/>
    <mergeCell ref="B25:F25"/>
    <mergeCell ref="B40:F40"/>
    <mergeCell ref="B58:F58"/>
    <mergeCell ref="B77:F7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95"/>
  <sheetViews>
    <sheetView zoomScale="39" zoomScaleNormal="39" workbookViewId="0">
      <selection activeCell="M32" sqref="M32"/>
    </sheetView>
  </sheetViews>
  <sheetFormatPr defaultColWidth="10" defaultRowHeight="13.8"/>
  <cols>
    <col min="1" max="1" width="22.5" customWidth="1"/>
    <col min="2" max="2" width="26.5" customWidth="1"/>
    <col min="3" max="3" width="20.69921875" customWidth="1"/>
    <col min="4" max="4" width="19" customWidth="1"/>
    <col min="5" max="5" width="25.59765625" customWidth="1"/>
    <col min="6" max="6" width="22.3984375" customWidth="1"/>
    <col min="7" max="7" width="23.19921875" customWidth="1"/>
    <col min="8" max="8" width="26" customWidth="1"/>
    <col min="9" max="9" width="23.09765625" customWidth="1"/>
    <col min="12" max="12" width="18.69921875" customWidth="1"/>
    <col min="14" max="14" width="13.8984375" customWidth="1"/>
    <col min="19" max="19" width="11.8984375" customWidth="1"/>
    <col min="20" max="20" width="13.8984375" customWidth="1"/>
    <col min="23" max="23" width="15.5" customWidth="1"/>
  </cols>
  <sheetData>
    <row r="1" spans="1:25" ht="22.8">
      <c r="A1" s="7" t="s">
        <v>4</v>
      </c>
      <c r="B1" s="7" t="s">
        <v>5</v>
      </c>
      <c r="C1" s="7" t="s">
        <v>6</v>
      </c>
      <c r="D1" s="7" t="s">
        <v>7</v>
      </c>
      <c r="E1" s="7" t="s">
        <v>236</v>
      </c>
      <c r="F1" s="8" t="s">
        <v>237</v>
      </c>
      <c r="G1" s="7" t="s">
        <v>6</v>
      </c>
      <c r="H1" s="7" t="s">
        <v>7</v>
      </c>
      <c r="I1" s="1" t="s">
        <v>465</v>
      </c>
      <c r="Q1" s="229" t="s">
        <v>443</v>
      </c>
      <c r="R1" s="222" t="s">
        <v>466</v>
      </c>
      <c r="S1" s="222"/>
      <c r="T1" s="223"/>
      <c r="V1" s="229" t="s">
        <v>443</v>
      </c>
      <c r="W1" s="222" t="s">
        <v>466</v>
      </c>
      <c r="X1" s="222"/>
      <c r="Y1" s="223"/>
    </row>
    <row r="2" spans="1:25" ht="22.8">
      <c r="A2" s="9" t="s">
        <v>467</v>
      </c>
      <c r="B2" s="10" t="s">
        <v>467</v>
      </c>
      <c r="C2" s="10" t="s">
        <v>467</v>
      </c>
      <c r="D2" s="11" t="s">
        <v>467</v>
      </c>
      <c r="E2" s="12" t="s">
        <v>467</v>
      </c>
      <c r="F2" s="13" t="s">
        <v>468</v>
      </c>
      <c r="G2" s="14" t="s">
        <v>468</v>
      </c>
      <c r="H2" s="11" t="s">
        <v>468</v>
      </c>
      <c r="I2" s="11" t="s">
        <v>468</v>
      </c>
      <c r="K2" s="224" t="s">
        <v>469</v>
      </c>
      <c r="L2" s="225"/>
      <c r="M2" s="225"/>
      <c r="N2" s="226"/>
      <c r="Q2" s="230"/>
      <c r="R2" s="78" t="s">
        <v>470</v>
      </c>
      <c r="S2" s="78" t="s">
        <v>471</v>
      </c>
      <c r="T2" s="80" t="s">
        <v>472</v>
      </c>
      <c r="V2" s="230"/>
      <c r="W2" s="78" t="s">
        <v>470</v>
      </c>
      <c r="X2" s="78" t="s">
        <v>471</v>
      </c>
      <c r="Y2" s="80" t="s">
        <v>472</v>
      </c>
    </row>
    <row r="3" spans="1:25" ht="22.8">
      <c r="A3" s="15" t="s">
        <v>473</v>
      </c>
      <c r="B3" s="10">
        <v>15</v>
      </c>
      <c r="C3" s="10">
        <v>28</v>
      </c>
      <c r="D3" s="11">
        <f t="shared" ref="D3:D22" si="0">SUM((B3*55000)+(C3*20000))</f>
        <v>1385000</v>
      </c>
      <c r="E3" s="11">
        <v>1755000</v>
      </c>
      <c r="F3" s="13"/>
      <c r="G3" s="14"/>
      <c r="H3" s="11">
        <f>SUM((F3*55000)+(G3*20000))</f>
        <v>0</v>
      </c>
      <c r="I3" s="81">
        <f>(F3*80000)+(G3*30000)</f>
        <v>0</v>
      </c>
      <c r="K3" s="82" t="s">
        <v>443</v>
      </c>
      <c r="L3" s="83" t="s">
        <v>9</v>
      </c>
      <c r="M3" s="83" t="s">
        <v>240</v>
      </c>
      <c r="N3" s="84" t="s">
        <v>474</v>
      </c>
      <c r="Q3" s="105">
        <v>1</v>
      </c>
      <c r="R3" s="78" t="s">
        <v>475</v>
      </c>
      <c r="S3" s="78" t="s">
        <v>476</v>
      </c>
      <c r="T3" s="106">
        <v>1</v>
      </c>
      <c r="V3" s="105">
        <v>1</v>
      </c>
      <c r="W3" s="78" t="s">
        <v>475</v>
      </c>
      <c r="X3" s="78" t="s">
        <v>476</v>
      </c>
      <c r="Y3" s="106">
        <v>1</v>
      </c>
    </row>
    <row r="4" spans="1:25" ht="22.8">
      <c r="A4" s="16" t="s">
        <v>19</v>
      </c>
      <c r="B4" s="10">
        <v>32</v>
      </c>
      <c r="C4" s="10">
        <v>17</v>
      </c>
      <c r="D4" s="11">
        <f t="shared" si="0"/>
        <v>2100000</v>
      </c>
      <c r="E4" s="11">
        <v>3030000</v>
      </c>
      <c r="F4" s="13"/>
      <c r="G4" s="14"/>
      <c r="H4" s="11">
        <f>SUM((F4*55000)+(G4*20000))</f>
        <v>0</v>
      </c>
      <c r="I4" s="81">
        <f>(F4*80000)+(G4*30000)</f>
        <v>0</v>
      </c>
      <c r="K4" s="82">
        <v>1</v>
      </c>
      <c r="L4" s="83" t="s">
        <v>477</v>
      </c>
      <c r="M4" s="83">
        <v>0</v>
      </c>
      <c r="N4" s="84">
        <v>9</v>
      </c>
      <c r="Q4" s="105">
        <v>2</v>
      </c>
      <c r="R4" s="78" t="s">
        <v>478</v>
      </c>
      <c r="S4" s="78" t="s">
        <v>476</v>
      </c>
      <c r="T4" s="106">
        <v>3</v>
      </c>
      <c r="V4" s="105">
        <v>2</v>
      </c>
      <c r="W4" s="78" t="s">
        <v>478</v>
      </c>
      <c r="X4" s="78" t="s">
        <v>476</v>
      </c>
      <c r="Y4" s="106">
        <v>3</v>
      </c>
    </row>
    <row r="5" spans="1:25" ht="22.8">
      <c r="A5" s="16" t="s">
        <v>479</v>
      </c>
      <c r="B5" s="10">
        <v>1</v>
      </c>
      <c r="C5" s="10">
        <v>6</v>
      </c>
      <c r="D5" s="11">
        <f t="shared" si="0"/>
        <v>175000</v>
      </c>
      <c r="E5" s="11">
        <v>-1915000</v>
      </c>
      <c r="F5" s="13"/>
      <c r="G5" s="14">
        <v>5</v>
      </c>
      <c r="H5" s="11">
        <f>SUM((F5*55000)+(G5*20000))</f>
        <v>100000</v>
      </c>
      <c r="I5" s="81">
        <f>(F5*80000)+(G5*30000)</f>
        <v>150000</v>
      </c>
      <c r="K5" s="82">
        <v>2</v>
      </c>
      <c r="L5" s="83" t="s">
        <v>480</v>
      </c>
      <c r="M5" s="83">
        <v>5</v>
      </c>
      <c r="N5" s="84">
        <v>11</v>
      </c>
      <c r="Q5" s="105">
        <v>3</v>
      </c>
      <c r="R5" s="78" t="s">
        <v>481</v>
      </c>
      <c r="S5" s="78" t="s">
        <v>476</v>
      </c>
      <c r="T5" s="106">
        <v>3</v>
      </c>
      <c r="V5" s="105">
        <v>3</v>
      </c>
      <c r="W5" s="78" t="s">
        <v>481</v>
      </c>
      <c r="X5" s="78" t="s">
        <v>476</v>
      </c>
      <c r="Y5" s="106">
        <v>3</v>
      </c>
    </row>
    <row r="6" spans="1:25" ht="22.8">
      <c r="A6" s="16" t="s">
        <v>19</v>
      </c>
      <c r="B6" s="10">
        <v>1</v>
      </c>
      <c r="C6" s="10"/>
      <c r="D6" s="11">
        <f t="shared" si="0"/>
        <v>55000</v>
      </c>
      <c r="E6" s="11">
        <v>-235000</v>
      </c>
      <c r="F6" s="13">
        <v>2</v>
      </c>
      <c r="G6" s="14">
        <v>12</v>
      </c>
      <c r="H6" s="11">
        <f>SUM((G6*20000)+(F6*55000))</f>
        <v>350000</v>
      </c>
      <c r="I6" s="81">
        <v>360000</v>
      </c>
      <c r="K6" s="82">
        <v>3</v>
      </c>
      <c r="L6" s="83" t="s">
        <v>482</v>
      </c>
      <c r="M6" s="83">
        <v>2</v>
      </c>
      <c r="N6" s="84">
        <v>0</v>
      </c>
      <c r="Q6" s="105">
        <v>4</v>
      </c>
      <c r="R6" s="78" t="s">
        <v>483</v>
      </c>
      <c r="S6" s="78" t="s">
        <v>476</v>
      </c>
      <c r="T6" s="106">
        <v>3</v>
      </c>
      <c r="V6" s="105">
        <v>4</v>
      </c>
      <c r="W6" s="78" t="s">
        <v>483</v>
      </c>
      <c r="X6" s="78" t="s">
        <v>476</v>
      </c>
      <c r="Y6" s="106">
        <v>3</v>
      </c>
    </row>
    <row r="7" spans="1:25" ht="22.8">
      <c r="A7" s="16" t="s">
        <v>484</v>
      </c>
      <c r="B7" s="10">
        <v>11</v>
      </c>
      <c r="C7" s="10">
        <v>7</v>
      </c>
      <c r="D7" s="11">
        <f t="shared" si="0"/>
        <v>745000</v>
      </c>
      <c r="E7" s="11">
        <v>-2675000</v>
      </c>
      <c r="F7" s="13"/>
      <c r="G7" s="14">
        <v>6</v>
      </c>
      <c r="H7" s="11">
        <f t="shared" ref="H7:H22" si="1">SUM((F7*55000)+(G7*20000))</f>
        <v>120000</v>
      </c>
      <c r="I7" s="81">
        <f>(F7*80000)+(G7*30000)</f>
        <v>180000</v>
      </c>
      <c r="K7" s="82"/>
      <c r="L7" s="83"/>
      <c r="M7" s="83"/>
      <c r="N7" s="84"/>
      <c r="V7" s="105">
        <v>5</v>
      </c>
      <c r="W7" s="78" t="s">
        <v>485</v>
      </c>
      <c r="X7" s="78" t="s">
        <v>476</v>
      </c>
      <c r="Y7" s="106">
        <v>3</v>
      </c>
    </row>
    <row r="8" spans="1:25" ht="22.8">
      <c r="A8" s="16" t="s">
        <v>19</v>
      </c>
      <c r="B8" s="17">
        <v>10</v>
      </c>
      <c r="C8" s="10">
        <v>3</v>
      </c>
      <c r="D8" s="11">
        <f t="shared" si="0"/>
        <v>610000</v>
      </c>
      <c r="E8" s="11">
        <v>-2645000</v>
      </c>
      <c r="F8" s="18"/>
      <c r="G8" s="14"/>
      <c r="H8" s="11">
        <f t="shared" si="1"/>
        <v>0</v>
      </c>
      <c r="I8" s="81">
        <f>(F8*80000)+(G8*30000)</f>
        <v>0</v>
      </c>
      <c r="K8" s="82"/>
      <c r="L8" s="83"/>
      <c r="M8" s="83"/>
      <c r="N8" s="84"/>
      <c r="V8" s="105">
        <v>6</v>
      </c>
      <c r="W8" s="78" t="s">
        <v>486</v>
      </c>
      <c r="X8" s="78" t="s">
        <v>487</v>
      </c>
      <c r="Y8" s="106">
        <v>2</v>
      </c>
    </row>
    <row r="9" spans="1:25" ht="22.8">
      <c r="A9" s="16" t="s">
        <v>488</v>
      </c>
      <c r="B9" s="19">
        <v>12</v>
      </c>
      <c r="C9" s="10">
        <v>12</v>
      </c>
      <c r="D9" s="11">
        <f t="shared" si="0"/>
        <v>900000</v>
      </c>
      <c r="E9" s="20">
        <v>-5912000</v>
      </c>
      <c r="F9" s="21">
        <v>6</v>
      </c>
      <c r="G9" s="22">
        <v>14</v>
      </c>
      <c r="H9" s="11">
        <f t="shared" si="1"/>
        <v>610000</v>
      </c>
      <c r="I9" s="81">
        <v>120000</v>
      </c>
      <c r="K9" s="82"/>
      <c r="L9" s="83"/>
      <c r="M9" s="83"/>
      <c r="N9" s="84"/>
      <c r="V9" s="105">
        <v>7</v>
      </c>
      <c r="W9" s="78"/>
      <c r="X9" s="78"/>
      <c r="Y9" s="106"/>
    </row>
    <row r="10" spans="1:25" ht="22.8">
      <c r="A10" s="16" t="s">
        <v>19</v>
      </c>
      <c r="B10" s="10">
        <v>6</v>
      </c>
      <c r="C10" s="10">
        <v>7</v>
      </c>
      <c r="D10" s="11">
        <f t="shared" si="0"/>
        <v>470000</v>
      </c>
      <c r="E10" s="11">
        <v>-2395000</v>
      </c>
      <c r="F10" s="18">
        <v>6</v>
      </c>
      <c r="G10" s="14">
        <v>3</v>
      </c>
      <c r="H10" s="11">
        <f t="shared" si="1"/>
        <v>390000</v>
      </c>
      <c r="I10" s="81"/>
      <c r="K10" s="85"/>
      <c r="L10" s="86" t="s">
        <v>29</v>
      </c>
      <c r="M10" s="86">
        <f>SUM(M4:M7)</f>
        <v>7</v>
      </c>
      <c r="N10" s="87">
        <f>SUM(N4:N7)</f>
        <v>20</v>
      </c>
      <c r="V10" s="105">
        <v>8</v>
      </c>
      <c r="W10" s="78"/>
      <c r="X10" s="78"/>
      <c r="Y10" s="106"/>
    </row>
    <row r="11" spans="1:25" ht="22.8">
      <c r="A11" s="16" t="s">
        <v>489</v>
      </c>
      <c r="B11" s="10">
        <v>9</v>
      </c>
      <c r="C11" s="10">
        <v>9</v>
      </c>
      <c r="D11" s="11">
        <f t="shared" si="0"/>
        <v>675000</v>
      </c>
      <c r="E11" s="11">
        <v>-3190000</v>
      </c>
      <c r="F11" s="13">
        <v>1</v>
      </c>
      <c r="G11" s="14">
        <v>7</v>
      </c>
      <c r="H11" s="11">
        <f t="shared" si="1"/>
        <v>195000</v>
      </c>
      <c r="I11" s="81"/>
      <c r="K11" s="88"/>
      <c r="L11" s="89"/>
      <c r="M11" s="88"/>
      <c r="N11" s="88"/>
      <c r="V11" s="105">
        <v>9</v>
      </c>
      <c r="W11" s="78"/>
      <c r="X11" s="78"/>
      <c r="Y11" s="106"/>
    </row>
    <row r="12" spans="1:25" ht="22.8">
      <c r="A12" s="9" t="s">
        <v>33</v>
      </c>
      <c r="B12" s="10">
        <v>7</v>
      </c>
      <c r="C12" s="10">
        <v>11</v>
      </c>
      <c r="D12" s="11">
        <f t="shared" si="0"/>
        <v>605000</v>
      </c>
      <c r="E12" s="11">
        <v>-3400000</v>
      </c>
      <c r="F12" s="13">
        <v>8</v>
      </c>
      <c r="G12" s="14">
        <v>2</v>
      </c>
      <c r="H12" s="11">
        <f t="shared" si="1"/>
        <v>480000</v>
      </c>
      <c r="I12" s="81"/>
      <c r="K12" s="88"/>
      <c r="L12" s="89" t="s">
        <v>490</v>
      </c>
      <c r="M12" s="90" t="s">
        <v>491</v>
      </c>
      <c r="N12" s="91">
        <f>SUM(M10*550000)</f>
        <v>3850000</v>
      </c>
      <c r="V12" s="107" t="s">
        <v>29</v>
      </c>
      <c r="W12" s="108"/>
      <c r="X12" s="108"/>
      <c r="Y12" s="109">
        <f>SUM(Y3:Y11)</f>
        <v>15</v>
      </c>
    </row>
    <row r="13" spans="1:25" ht="22.8">
      <c r="A13" s="16" t="s">
        <v>492</v>
      </c>
      <c r="B13" s="10">
        <v>4</v>
      </c>
      <c r="C13" s="10">
        <v>7</v>
      </c>
      <c r="D13" s="11">
        <f t="shared" si="0"/>
        <v>360000</v>
      </c>
      <c r="E13" s="23">
        <v>-2750000</v>
      </c>
      <c r="F13" s="18">
        <v>8</v>
      </c>
      <c r="G13" s="24">
        <v>5</v>
      </c>
      <c r="H13" s="11">
        <f t="shared" si="1"/>
        <v>540000</v>
      </c>
      <c r="I13" s="81"/>
      <c r="K13" s="88"/>
      <c r="L13" s="89" t="s">
        <v>493</v>
      </c>
      <c r="M13" s="90" t="s">
        <v>491</v>
      </c>
      <c r="N13" s="91">
        <f>N10*250000</f>
        <v>5000000</v>
      </c>
    </row>
    <row r="14" spans="1:25" ht="22.8">
      <c r="A14" s="9" t="s">
        <v>33</v>
      </c>
      <c r="B14" s="10">
        <v>7</v>
      </c>
      <c r="C14" s="10">
        <v>3</v>
      </c>
      <c r="D14" s="11">
        <f t="shared" si="0"/>
        <v>445000</v>
      </c>
      <c r="E14" s="11">
        <v>-2740000</v>
      </c>
      <c r="F14" s="13">
        <v>7</v>
      </c>
      <c r="G14" s="14">
        <v>2</v>
      </c>
      <c r="H14" s="11">
        <f t="shared" si="1"/>
        <v>425000</v>
      </c>
      <c r="I14" s="81"/>
      <c r="K14" s="88"/>
      <c r="L14" s="92" t="s">
        <v>494</v>
      </c>
      <c r="M14" s="93" t="s">
        <v>491</v>
      </c>
      <c r="N14" s="94">
        <f>N12+N13</f>
        <v>8850000</v>
      </c>
    </row>
    <row r="15" spans="1:25" ht="22.8">
      <c r="A15" s="15" t="s">
        <v>495</v>
      </c>
      <c r="B15" s="10">
        <v>13</v>
      </c>
      <c r="C15" s="10">
        <v>12</v>
      </c>
      <c r="D15" s="11">
        <f t="shared" si="0"/>
        <v>955000</v>
      </c>
      <c r="E15" s="11">
        <v>-605000</v>
      </c>
      <c r="F15" s="13">
        <v>4</v>
      </c>
      <c r="G15" s="14">
        <v>1</v>
      </c>
      <c r="H15" s="11">
        <f t="shared" si="1"/>
        <v>240000</v>
      </c>
      <c r="I15" s="81"/>
      <c r="K15" s="95"/>
      <c r="L15" s="96"/>
      <c r="M15" s="95"/>
      <c r="N15" s="95"/>
    </row>
    <row r="16" spans="1:25" ht="22.8">
      <c r="A16" s="15" t="s">
        <v>19</v>
      </c>
      <c r="B16" s="10">
        <v>10</v>
      </c>
      <c r="C16" s="10">
        <v>1</v>
      </c>
      <c r="D16" s="11">
        <f t="shared" si="0"/>
        <v>570000</v>
      </c>
      <c r="E16" s="11">
        <v>-3005000</v>
      </c>
      <c r="F16" s="13"/>
      <c r="G16" s="14"/>
      <c r="H16" s="11">
        <f t="shared" si="1"/>
        <v>0</v>
      </c>
      <c r="I16" s="81">
        <f t="shared" ref="I16:I22" si="2">(F16*80000)+(G16*30000)</f>
        <v>0</v>
      </c>
      <c r="K16" s="97"/>
      <c r="L16" s="89"/>
      <c r="M16" s="97"/>
      <c r="N16" s="97"/>
    </row>
    <row r="17" spans="1:15" ht="22.8">
      <c r="A17" s="16" t="s">
        <v>496</v>
      </c>
      <c r="B17" s="10">
        <v>5</v>
      </c>
      <c r="C17" s="10">
        <v>1</v>
      </c>
      <c r="D17" s="11">
        <f t="shared" si="0"/>
        <v>295000</v>
      </c>
      <c r="E17" s="11">
        <v>-1950000</v>
      </c>
      <c r="F17" s="13"/>
      <c r="G17" s="14"/>
      <c r="H17" s="11">
        <f t="shared" si="1"/>
        <v>0</v>
      </c>
      <c r="I17" s="81">
        <f t="shared" si="2"/>
        <v>0</v>
      </c>
      <c r="K17" s="218" t="s">
        <v>442</v>
      </c>
      <c r="L17" s="218"/>
      <c r="M17" s="218"/>
      <c r="N17" s="218"/>
      <c r="O17" s="218"/>
    </row>
    <row r="18" spans="1:15" ht="22.8">
      <c r="A18" s="10"/>
      <c r="B18" s="25"/>
      <c r="C18" s="10"/>
      <c r="D18" s="11">
        <f t="shared" si="0"/>
        <v>0</v>
      </c>
      <c r="E18" s="11"/>
      <c r="F18" s="13"/>
      <c r="G18" s="14"/>
      <c r="H18" s="11">
        <f t="shared" si="1"/>
        <v>0</v>
      </c>
      <c r="I18" s="81">
        <f t="shared" si="2"/>
        <v>0</v>
      </c>
      <c r="K18" s="2" t="s">
        <v>443</v>
      </c>
      <c r="L18" s="3" t="s">
        <v>9</v>
      </c>
      <c r="M18" s="2" t="s">
        <v>94</v>
      </c>
      <c r="N18" s="3" t="s">
        <v>239</v>
      </c>
      <c r="O18" s="3" t="s">
        <v>444</v>
      </c>
    </row>
    <row r="19" spans="1:15" ht="22.8">
      <c r="A19" s="16"/>
      <c r="B19" s="25"/>
      <c r="C19" s="10"/>
      <c r="D19" s="11">
        <f t="shared" si="0"/>
        <v>0</v>
      </c>
      <c r="E19" s="11"/>
      <c r="F19" s="18"/>
      <c r="G19" s="14"/>
      <c r="H19" s="11">
        <f t="shared" si="1"/>
        <v>0</v>
      </c>
      <c r="I19" s="81">
        <f t="shared" si="2"/>
        <v>0</v>
      </c>
      <c r="K19" s="2">
        <v>1</v>
      </c>
      <c r="L19" s="3" t="s">
        <v>479</v>
      </c>
      <c r="M19" s="3" t="s">
        <v>497</v>
      </c>
      <c r="N19" s="3" t="s">
        <v>498</v>
      </c>
      <c r="O19" s="3">
        <v>9.01</v>
      </c>
    </row>
    <row r="20" spans="1:15" ht="22.8">
      <c r="A20" s="16"/>
      <c r="B20" s="10"/>
      <c r="C20" s="10"/>
      <c r="D20" s="11">
        <f t="shared" si="0"/>
        <v>0</v>
      </c>
      <c r="E20" s="20"/>
      <c r="F20" s="26"/>
      <c r="G20" s="22"/>
      <c r="H20" s="11">
        <f t="shared" si="1"/>
        <v>0</v>
      </c>
      <c r="I20" s="81">
        <f t="shared" si="2"/>
        <v>0</v>
      </c>
      <c r="K20" s="2">
        <v>2</v>
      </c>
      <c r="L20" s="3"/>
      <c r="M20" s="3" t="s">
        <v>499</v>
      </c>
      <c r="N20" s="3" t="s">
        <v>452</v>
      </c>
      <c r="O20" s="3">
        <v>8.61</v>
      </c>
    </row>
    <row r="21" spans="1:15" ht="22.8">
      <c r="A21" s="10"/>
      <c r="B21" s="10"/>
      <c r="C21" s="10"/>
      <c r="D21" s="11">
        <f t="shared" si="0"/>
        <v>0</v>
      </c>
      <c r="E21" s="11"/>
      <c r="F21" s="13"/>
      <c r="G21" s="14"/>
      <c r="H21" s="11">
        <f t="shared" si="1"/>
        <v>0</v>
      </c>
      <c r="I21" s="81">
        <f t="shared" si="2"/>
        <v>0</v>
      </c>
      <c r="K21" s="2">
        <v>3</v>
      </c>
      <c r="L21" s="3" t="s">
        <v>484</v>
      </c>
      <c r="M21" s="3" t="s">
        <v>320</v>
      </c>
      <c r="N21" s="3" t="s">
        <v>445</v>
      </c>
      <c r="O21" s="3">
        <v>8.89</v>
      </c>
    </row>
    <row r="22" spans="1:15" ht="22.8">
      <c r="A22" s="27"/>
      <c r="B22" s="10"/>
      <c r="C22" s="10"/>
      <c r="D22" s="11">
        <f t="shared" si="0"/>
        <v>0</v>
      </c>
      <c r="E22" s="11"/>
      <c r="F22" s="13"/>
      <c r="G22" s="14"/>
      <c r="H22" s="11">
        <f t="shared" si="1"/>
        <v>0</v>
      </c>
      <c r="I22" s="81">
        <f t="shared" si="2"/>
        <v>0</v>
      </c>
      <c r="K22" s="2">
        <v>4</v>
      </c>
      <c r="L22" s="3" t="s">
        <v>488</v>
      </c>
      <c r="M22" s="3" t="s">
        <v>499</v>
      </c>
      <c r="N22" s="3" t="s">
        <v>452</v>
      </c>
      <c r="O22" s="3">
        <v>9.23</v>
      </c>
    </row>
    <row r="23" spans="1:15" ht="22.8">
      <c r="A23" s="28" t="s">
        <v>29</v>
      </c>
      <c r="B23" s="29">
        <f t="shared" ref="B23:I23" si="3">SUM(B2:B22)</f>
        <v>143</v>
      </c>
      <c r="C23" s="29">
        <f t="shared" si="3"/>
        <v>124</v>
      </c>
      <c r="D23" s="30">
        <f t="shared" si="3"/>
        <v>10345000</v>
      </c>
      <c r="E23" s="30">
        <f t="shared" si="3"/>
        <v>-28632000</v>
      </c>
      <c r="F23" s="31">
        <f t="shared" si="3"/>
        <v>42</v>
      </c>
      <c r="G23" s="32">
        <f t="shared" si="3"/>
        <v>57</v>
      </c>
      <c r="H23" s="30">
        <f t="shared" si="3"/>
        <v>3450000</v>
      </c>
      <c r="I23" s="98">
        <f t="shared" si="3"/>
        <v>810000</v>
      </c>
      <c r="K23" s="2">
        <v>5</v>
      </c>
      <c r="L23" s="3" t="s">
        <v>489</v>
      </c>
      <c r="M23" s="3" t="s">
        <v>500</v>
      </c>
      <c r="N23" s="3" t="s">
        <v>445</v>
      </c>
      <c r="O23" s="3">
        <v>9.23</v>
      </c>
    </row>
    <row r="24" spans="1:15" ht="22.8">
      <c r="A24" s="33"/>
      <c r="B24" s="33"/>
      <c r="C24" s="33"/>
      <c r="D24" s="33"/>
      <c r="E24" s="34"/>
      <c r="F24" s="35"/>
      <c r="G24" s="33"/>
      <c r="H24" s="33"/>
      <c r="I24" s="99"/>
      <c r="K24" s="2">
        <v>6</v>
      </c>
      <c r="L24" s="3" t="s">
        <v>501</v>
      </c>
      <c r="M24" s="3" t="s">
        <v>499</v>
      </c>
      <c r="N24" s="3" t="s">
        <v>502</v>
      </c>
      <c r="O24" s="3">
        <v>9.02</v>
      </c>
    </row>
    <row r="25" spans="1:15" ht="22.8">
      <c r="A25" s="36"/>
      <c r="B25" s="37"/>
      <c r="C25" s="37"/>
      <c r="D25" s="37"/>
      <c r="E25" s="38"/>
      <c r="F25" s="205"/>
      <c r="G25" s="206"/>
      <c r="H25" s="37"/>
      <c r="I25" s="99"/>
      <c r="K25" s="2">
        <v>7</v>
      </c>
      <c r="L25" s="3" t="s">
        <v>495</v>
      </c>
      <c r="M25" s="3" t="s">
        <v>116</v>
      </c>
      <c r="N25" s="3" t="s">
        <v>447</v>
      </c>
      <c r="O25" s="3">
        <v>9.01</v>
      </c>
    </row>
    <row r="26" spans="1:15" ht="22.8">
      <c r="A26" s="10" t="s">
        <v>9</v>
      </c>
      <c r="B26" s="10" t="s">
        <v>40</v>
      </c>
      <c r="C26" s="10" t="s">
        <v>11</v>
      </c>
      <c r="D26" s="40"/>
      <c r="E26" s="37" t="s">
        <v>41</v>
      </c>
      <c r="F26" s="41">
        <f>SUM(D2:D22)</f>
        <v>10345000</v>
      </c>
      <c r="G26" s="37"/>
      <c r="H26" s="37"/>
      <c r="I26" s="99"/>
      <c r="K26" s="2">
        <v>8</v>
      </c>
      <c r="L26" s="3"/>
      <c r="M26" s="3" t="s">
        <v>499</v>
      </c>
      <c r="N26" s="3" t="s">
        <v>452</v>
      </c>
      <c r="O26" s="3">
        <v>9.07</v>
      </c>
    </row>
    <row r="27" spans="1:15" ht="22.8">
      <c r="A27" s="10" t="s">
        <v>503</v>
      </c>
      <c r="B27" s="10">
        <v>2</v>
      </c>
      <c r="C27" s="11">
        <f t="shared" ref="C27:C41" si="4">SUM(B27*50000)</f>
        <v>100000</v>
      </c>
      <c r="D27" s="42"/>
      <c r="E27" s="37" t="s">
        <v>272</v>
      </c>
      <c r="F27" s="41">
        <f>SUM(H2:H22)</f>
        <v>3450000</v>
      </c>
      <c r="G27" s="199" t="s">
        <v>238</v>
      </c>
      <c r="H27" s="200"/>
      <c r="I27" s="201"/>
      <c r="K27" s="2">
        <v>9</v>
      </c>
      <c r="L27" s="3" t="s">
        <v>496</v>
      </c>
      <c r="M27" s="3" t="s">
        <v>456</v>
      </c>
      <c r="N27" s="3" t="s">
        <v>461</v>
      </c>
      <c r="O27" s="3">
        <v>9.1300000000000008</v>
      </c>
    </row>
    <row r="28" spans="1:15" ht="22.8">
      <c r="A28" s="43" t="s">
        <v>479</v>
      </c>
      <c r="B28" s="44">
        <v>6</v>
      </c>
      <c r="C28" s="11">
        <f t="shared" si="4"/>
        <v>300000</v>
      </c>
      <c r="D28" s="45"/>
      <c r="E28" s="46" t="s">
        <v>504</v>
      </c>
      <c r="F28" s="41">
        <f>SUM(E2:E22)</f>
        <v>-28632000</v>
      </c>
      <c r="G28" s="47" t="s">
        <v>9</v>
      </c>
      <c r="H28" s="48" t="s">
        <v>10</v>
      </c>
      <c r="I28" s="100" t="s">
        <v>11</v>
      </c>
      <c r="K28" s="2">
        <v>10</v>
      </c>
      <c r="L28" s="3"/>
      <c r="M28" s="3" t="s">
        <v>451</v>
      </c>
      <c r="N28" s="3" t="s">
        <v>448</v>
      </c>
      <c r="O28" s="3">
        <v>9.49</v>
      </c>
    </row>
    <row r="29" spans="1:15" ht="22.8">
      <c r="A29" s="43" t="s">
        <v>505</v>
      </c>
      <c r="B29" s="44">
        <v>4</v>
      </c>
      <c r="C29" s="11">
        <f t="shared" si="4"/>
        <v>200000</v>
      </c>
      <c r="D29" s="49"/>
      <c r="E29" s="46" t="s">
        <v>506</v>
      </c>
      <c r="F29" s="41">
        <f>SUM(I2:I22)</f>
        <v>810000</v>
      </c>
      <c r="G29" s="50" t="s">
        <v>479</v>
      </c>
      <c r="H29" s="51" t="s">
        <v>507</v>
      </c>
      <c r="I29" s="101">
        <v>2600000</v>
      </c>
      <c r="K29" s="3"/>
      <c r="L29" s="2" t="s">
        <v>29</v>
      </c>
      <c r="M29" s="3"/>
      <c r="N29" s="3"/>
      <c r="O29" s="3">
        <f>SUM(O19:O28)</f>
        <v>90.69</v>
      </c>
    </row>
    <row r="30" spans="1:15" ht="22.8">
      <c r="A30" s="43" t="s">
        <v>508</v>
      </c>
      <c r="B30" s="44">
        <v>3</v>
      </c>
      <c r="C30" s="11">
        <f t="shared" si="4"/>
        <v>150000</v>
      </c>
      <c r="D30" s="52"/>
      <c r="E30" s="46" t="s">
        <v>46</v>
      </c>
      <c r="F30" s="41">
        <f>C42</f>
        <v>2400000</v>
      </c>
      <c r="G30" s="53"/>
      <c r="H30" s="51" t="s">
        <v>509</v>
      </c>
      <c r="I30" s="101">
        <v>3000000</v>
      </c>
    </row>
    <row r="31" spans="1:15" ht="22.8">
      <c r="A31" s="43" t="s">
        <v>505</v>
      </c>
      <c r="B31" s="54">
        <v>2</v>
      </c>
      <c r="C31" s="11">
        <f t="shared" si="4"/>
        <v>100000</v>
      </c>
      <c r="D31" s="46"/>
      <c r="E31" s="46" t="s">
        <v>44</v>
      </c>
      <c r="F31" s="55">
        <f>I43</f>
        <v>66890000</v>
      </c>
      <c r="G31" s="56" t="s">
        <v>484</v>
      </c>
      <c r="H31" s="51" t="s">
        <v>510</v>
      </c>
      <c r="I31" s="101">
        <v>7000000</v>
      </c>
    </row>
    <row r="32" spans="1:15" ht="22.8">
      <c r="A32" s="51" t="s">
        <v>488</v>
      </c>
      <c r="B32" s="51">
        <v>7</v>
      </c>
      <c r="C32" s="11">
        <f t="shared" si="4"/>
        <v>350000</v>
      </c>
      <c r="D32" s="46"/>
      <c r="E32" s="46" t="s">
        <v>511</v>
      </c>
      <c r="F32" s="41"/>
      <c r="G32" s="53" t="s">
        <v>512</v>
      </c>
      <c r="H32" s="51" t="s">
        <v>513</v>
      </c>
      <c r="I32" s="101">
        <v>3000000</v>
      </c>
    </row>
    <row r="33" spans="1:15" ht="22.8">
      <c r="A33" s="43" t="s">
        <v>505</v>
      </c>
      <c r="B33" s="51">
        <v>2</v>
      </c>
      <c r="C33" s="11">
        <f t="shared" si="4"/>
        <v>100000</v>
      </c>
      <c r="D33" s="52"/>
      <c r="E33" s="46"/>
      <c r="F33" s="41"/>
      <c r="G33" s="53"/>
      <c r="H33" s="51" t="s">
        <v>514</v>
      </c>
      <c r="I33" s="101">
        <v>3140000</v>
      </c>
    </row>
    <row r="34" spans="1:15" ht="22.8">
      <c r="A34" s="43" t="s">
        <v>489</v>
      </c>
      <c r="B34" s="51">
        <v>2</v>
      </c>
      <c r="C34" s="11">
        <f t="shared" si="4"/>
        <v>100000</v>
      </c>
      <c r="D34" s="46"/>
      <c r="E34" s="57" t="s">
        <v>49</v>
      </c>
      <c r="F34" s="41">
        <f>H63</f>
        <v>2504000</v>
      </c>
      <c r="G34" s="53"/>
      <c r="H34" s="58" t="s">
        <v>510</v>
      </c>
      <c r="I34" s="101">
        <v>7000000</v>
      </c>
    </row>
    <row r="35" spans="1:15" ht="22.8">
      <c r="A35" s="51" t="s">
        <v>505</v>
      </c>
      <c r="B35" s="51">
        <v>2</v>
      </c>
      <c r="C35" s="11">
        <f t="shared" si="4"/>
        <v>100000</v>
      </c>
      <c r="D35" s="46"/>
      <c r="E35" s="46"/>
      <c r="F35" s="41"/>
      <c r="G35" s="53"/>
      <c r="H35" s="51" t="s">
        <v>515</v>
      </c>
      <c r="I35" s="101">
        <v>170000</v>
      </c>
    </row>
    <row r="36" spans="1:15" ht="24.6">
      <c r="A36" s="51" t="s">
        <v>501</v>
      </c>
      <c r="B36" s="51">
        <v>2</v>
      </c>
      <c r="C36" s="11">
        <f t="shared" si="4"/>
        <v>100000</v>
      </c>
      <c r="D36" s="59" t="s">
        <v>50</v>
      </c>
      <c r="E36" s="59"/>
      <c r="F36" s="60">
        <f>F26+F27+F28+F29+F30+F31+F33+F32-F34</f>
        <v>52759000</v>
      </c>
      <c r="G36" s="53" t="s">
        <v>489</v>
      </c>
      <c r="H36" s="51" t="s">
        <v>516</v>
      </c>
      <c r="I36" s="101">
        <v>7000000</v>
      </c>
    </row>
    <row r="37" spans="1:15" ht="24.6">
      <c r="A37" s="51" t="s">
        <v>517</v>
      </c>
      <c r="B37" s="51">
        <v>3</v>
      </c>
      <c r="C37" s="11">
        <f t="shared" si="4"/>
        <v>150000</v>
      </c>
      <c r="D37" s="46"/>
      <c r="E37" s="46"/>
      <c r="F37" s="61"/>
      <c r="G37" s="53" t="s">
        <v>501</v>
      </c>
      <c r="H37" s="51" t="s">
        <v>518</v>
      </c>
      <c r="I37" s="101">
        <v>8000000</v>
      </c>
      <c r="K37" s="218" t="s">
        <v>449</v>
      </c>
      <c r="L37" s="218"/>
      <c r="M37" s="218"/>
      <c r="N37" s="218"/>
      <c r="O37" s="218"/>
    </row>
    <row r="38" spans="1:15" ht="24.6">
      <c r="A38" s="43" t="s">
        <v>519</v>
      </c>
      <c r="B38" s="51">
        <v>4</v>
      </c>
      <c r="C38" s="11">
        <f t="shared" si="4"/>
        <v>200000</v>
      </c>
      <c r="D38" s="46" t="s">
        <v>52</v>
      </c>
      <c r="E38" s="46" t="s">
        <v>520</v>
      </c>
      <c r="F38" s="61">
        <f>B104</f>
        <v>52615000</v>
      </c>
      <c r="G38" s="53" t="s">
        <v>519</v>
      </c>
      <c r="H38" s="51" t="s">
        <v>516</v>
      </c>
      <c r="I38" s="101">
        <v>7400000</v>
      </c>
      <c r="K38" s="2" t="s">
        <v>443</v>
      </c>
      <c r="L38" s="3" t="s">
        <v>9</v>
      </c>
      <c r="M38" s="2" t="s">
        <v>94</v>
      </c>
      <c r="N38" s="3" t="s">
        <v>239</v>
      </c>
      <c r="O38" s="3" t="s">
        <v>444</v>
      </c>
    </row>
    <row r="39" spans="1:15" ht="24.6">
      <c r="A39" s="51" t="s">
        <v>19</v>
      </c>
      <c r="B39" s="51">
        <v>4</v>
      </c>
      <c r="C39" s="11">
        <f t="shared" si="4"/>
        <v>200000</v>
      </c>
      <c r="D39" s="46"/>
      <c r="E39" s="46"/>
      <c r="F39" s="61"/>
      <c r="G39" s="53"/>
      <c r="H39" s="51" t="s">
        <v>521</v>
      </c>
      <c r="I39" s="101">
        <v>9000000</v>
      </c>
      <c r="K39" s="2">
        <v>1</v>
      </c>
      <c r="L39" s="3" t="s">
        <v>489</v>
      </c>
      <c r="M39" s="3" t="s">
        <v>459</v>
      </c>
      <c r="N39" s="3" t="s">
        <v>441</v>
      </c>
      <c r="O39" s="4">
        <v>9.1999999999999993</v>
      </c>
    </row>
    <row r="40" spans="1:15" ht="24.6">
      <c r="A40" s="51" t="s">
        <v>522</v>
      </c>
      <c r="B40" s="51">
        <v>2</v>
      </c>
      <c r="C40" s="11">
        <f t="shared" si="4"/>
        <v>100000</v>
      </c>
      <c r="D40" s="207" t="s">
        <v>54</v>
      </c>
      <c r="E40" s="207"/>
      <c r="F40" s="62">
        <f>F36-F38</f>
        <v>144000</v>
      </c>
      <c r="G40" s="53" t="s">
        <v>523</v>
      </c>
      <c r="H40" s="51" t="s">
        <v>524</v>
      </c>
      <c r="I40" s="102">
        <v>3580000</v>
      </c>
      <c r="K40" s="2">
        <v>2</v>
      </c>
      <c r="L40" s="3"/>
      <c r="M40" s="3" t="s">
        <v>456</v>
      </c>
      <c r="N40" s="3" t="s">
        <v>525</v>
      </c>
      <c r="O40" s="3">
        <v>9.1300000000000008</v>
      </c>
    </row>
    <row r="41" spans="1:15" ht="22.8">
      <c r="A41" s="51" t="s">
        <v>51</v>
      </c>
      <c r="B41" s="51">
        <v>3</v>
      </c>
      <c r="C41" s="11">
        <f t="shared" si="4"/>
        <v>150000</v>
      </c>
      <c r="D41" s="46"/>
      <c r="E41" s="46"/>
      <c r="F41" s="46"/>
      <c r="G41" s="53"/>
      <c r="H41" s="51" t="s">
        <v>32</v>
      </c>
      <c r="I41" s="102">
        <v>6000000</v>
      </c>
      <c r="K41" s="2">
        <v>3</v>
      </c>
      <c r="L41" s="3" t="s">
        <v>501</v>
      </c>
      <c r="M41" s="3" t="s">
        <v>526</v>
      </c>
      <c r="N41" s="3" t="s">
        <v>441</v>
      </c>
      <c r="O41" s="3">
        <v>9.49</v>
      </c>
    </row>
    <row r="42" spans="1:15" ht="22.8">
      <c r="A42" s="51" t="s">
        <v>29</v>
      </c>
      <c r="B42" s="51">
        <f>SUM(B27:B41)</f>
        <v>48</v>
      </c>
      <c r="C42" s="63">
        <f>SUM(C27:C41)</f>
        <v>2400000</v>
      </c>
      <c r="D42" s="46"/>
      <c r="E42" s="46"/>
      <c r="F42" s="46"/>
      <c r="G42" s="53"/>
      <c r="H42" s="51"/>
      <c r="I42" s="80"/>
      <c r="J42" s="103"/>
      <c r="K42" s="2">
        <v>4</v>
      </c>
      <c r="L42" s="3"/>
      <c r="M42" s="3" t="s">
        <v>499</v>
      </c>
      <c r="N42" s="3" t="s">
        <v>452</v>
      </c>
      <c r="O42" s="3">
        <v>9.23</v>
      </c>
    </row>
    <row r="43" spans="1:15" ht="22.8">
      <c r="A43" s="46"/>
      <c r="B43" s="46"/>
      <c r="C43" s="46"/>
      <c r="D43" s="46"/>
      <c r="E43" s="46"/>
      <c r="F43" s="46"/>
      <c r="G43" s="64"/>
      <c r="H43" s="65" t="s">
        <v>29</v>
      </c>
      <c r="I43" s="104">
        <f>SUM(I29:I42)</f>
        <v>66890000</v>
      </c>
      <c r="K43" s="2">
        <v>5</v>
      </c>
      <c r="L43" s="3" t="s">
        <v>495</v>
      </c>
      <c r="M43" s="3" t="s">
        <v>456</v>
      </c>
      <c r="N43" s="3" t="s">
        <v>527</v>
      </c>
      <c r="O43" s="3">
        <v>9.1300000000000008</v>
      </c>
    </row>
    <row r="44" spans="1:15" ht="22.8">
      <c r="A44" s="46"/>
      <c r="B44" s="46"/>
      <c r="C44" s="46"/>
      <c r="D44" s="46"/>
      <c r="E44" s="46"/>
      <c r="F44" s="46"/>
      <c r="G44" s="46"/>
      <c r="H44" s="46"/>
      <c r="K44" s="2">
        <v>6</v>
      </c>
      <c r="L44" s="3"/>
      <c r="M44" s="3" t="s">
        <v>500</v>
      </c>
      <c r="N44" s="3" t="s">
        <v>445</v>
      </c>
      <c r="O44" s="3">
        <v>9.91</v>
      </c>
    </row>
    <row r="45" spans="1:15" ht="24.6">
      <c r="A45" s="209" t="s">
        <v>55</v>
      </c>
      <c r="B45" s="210"/>
      <c r="C45" s="210"/>
      <c r="D45" s="210"/>
      <c r="E45" s="210" t="s">
        <v>55</v>
      </c>
      <c r="F45" s="210"/>
      <c r="G45" s="210"/>
      <c r="H45" s="227"/>
      <c r="K45" s="2">
        <v>7</v>
      </c>
      <c r="L45" s="3"/>
      <c r="M45" s="3" t="s">
        <v>499</v>
      </c>
      <c r="N45" s="3" t="s">
        <v>452</v>
      </c>
      <c r="O45" s="3">
        <v>9.23</v>
      </c>
    </row>
    <row r="46" spans="1:15" ht="22.8">
      <c r="A46" s="66" t="s">
        <v>9</v>
      </c>
      <c r="B46" s="67" t="s">
        <v>56</v>
      </c>
      <c r="C46" s="67" t="s">
        <v>57</v>
      </c>
      <c r="D46" s="67" t="s">
        <v>29</v>
      </c>
      <c r="E46" s="67" t="s">
        <v>9</v>
      </c>
      <c r="F46" s="67" t="s">
        <v>528</v>
      </c>
      <c r="G46" s="67" t="s">
        <v>529</v>
      </c>
      <c r="H46" s="68" t="s">
        <v>29</v>
      </c>
      <c r="K46" s="2">
        <v>8</v>
      </c>
      <c r="L46" s="3"/>
      <c r="M46" s="3" t="s">
        <v>451</v>
      </c>
      <c r="N46" s="3" t="s">
        <v>441</v>
      </c>
      <c r="O46" s="3">
        <v>9.84</v>
      </c>
    </row>
    <row r="47" spans="1:15" ht="21">
      <c r="A47" s="69" t="s">
        <v>479</v>
      </c>
      <c r="B47" s="10" t="s">
        <v>530</v>
      </c>
      <c r="C47" s="11">
        <v>150000</v>
      </c>
      <c r="D47" s="11"/>
      <c r="E47" s="10"/>
      <c r="F47" s="10"/>
      <c r="G47" s="10"/>
      <c r="H47" s="70">
        <f>D71</f>
        <v>2294000</v>
      </c>
      <c r="K47" s="2">
        <v>9</v>
      </c>
      <c r="L47" s="3"/>
      <c r="M47" s="3"/>
      <c r="N47" s="3"/>
      <c r="O47" s="3"/>
    </row>
    <row r="48" spans="1:15" ht="21">
      <c r="A48" s="71"/>
      <c r="B48" s="25" t="s">
        <v>64</v>
      </c>
      <c r="C48" s="23">
        <v>50000</v>
      </c>
      <c r="D48" s="72"/>
      <c r="E48" s="73"/>
      <c r="F48" s="10"/>
      <c r="G48" s="11"/>
      <c r="H48" s="70"/>
      <c r="K48" s="2">
        <v>10</v>
      </c>
      <c r="L48" s="3"/>
      <c r="M48" s="3"/>
      <c r="N48" s="3"/>
      <c r="O48" s="3"/>
    </row>
    <row r="49" spans="1:15" ht="21">
      <c r="A49" s="69"/>
      <c r="B49" s="10" t="s">
        <v>531</v>
      </c>
      <c r="C49" s="11">
        <v>49000</v>
      </c>
      <c r="D49" s="11"/>
      <c r="E49" s="10" t="s">
        <v>496</v>
      </c>
      <c r="F49" s="10" t="s">
        <v>532</v>
      </c>
      <c r="G49" s="11">
        <v>160000</v>
      </c>
      <c r="H49" s="70"/>
      <c r="K49" s="3"/>
      <c r="L49" s="2" t="s">
        <v>29</v>
      </c>
      <c r="M49" s="3"/>
      <c r="N49" s="3"/>
      <c r="O49" s="3">
        <f>SUM(O39:O48)</f>
        <v>75.16</v>
      </c>
    </row>
    <row r="50" spans="1:15" ht="21">
      <c r="A50" s="69"/>
      <c r="B50" s="10"/>
      <c r="C50" s="11"/>
      <c r="D50" s="11"/>
      <c r="E50" s="10"/>
      <c r="F50" s="10" t="s">
        <v>533</v>
      </c>
      <c r="G50" s="11">
        <v>50000</v>
      </c>
      <c r="H50" s="70"/>
    </row>
    <row r="51" spans="1:15" ht="21">
      <c r="A51" s="69"/>
      <c r="B51" s="74" t="s">
        <v>29</v>
      </c>
      <c r="C51" s="75">
        <f>SUM(C47:C50)</f>
        <v>249000</v>
      </c>
      <c r="D51" s="11">
        <f>C51</f>
        <v>249000</v>
      </c>
      <c r="E51" s="10"/>
      <c r="F51" s="10"/>
      <c r="G51" s="11"/>
      <c r="H51" s="70"/>
    </row>
    <row r="52" spans="1:15" ht="21">
      <c r="A52" s="76" t="s">
        <v>488</v>
      </c>
      <c r="B52" s="10" t="s">
        <v>534</v>
      </c>
      <c r="C52" s="11">
        <v>950000</v>
      </c>
      <c r="D52" s="11"/>
      <c r="E52" s="10"/>
      <c r="F52" s="10"/>
      <c r="G52" s="11"/>
      <c r="H52" s="70"/>
    </row>
    <row r="53" spans="1:15" ht="21">
      <c r="A53" s="69"/>
      <c r="B53" s="25" t="s">
        <v>535</v>
      </c>
      <c r="C53" s="11">
        <v>40000</v>
      </c>
      <c r="D53" s="20"/>
      <c r="E53" s="10"/>
      <c r="F53" s="10"/>
      <c r="G53" s="11"/>
      <c r="H53" s="70"/>
    </row>
    <row r="54" spans="1:15" ht="21">
      <c r="A54" s="69"/>
      <c r="B54" s="10" t="s">
        <v>536</v>
      </c>
      <c r="C54" s="11">
        <v>200000</v>
      </c>
      <c r="D54" s="11"/>
      <c r="E54" s="10"/>
      <c r="F54" s="10"/>
      <c r="G54" s="11"/>
      <c r="H54" s="70"/>
    </row>
    <row r="55" spans="1:15" ht="21">
      <c r="A55" s="69"/>
      <c r="B55" s="10" t="s">
        <v>64</v>
      </c>
      <c r="C55" s="11">
        <v>50000</v>
      </c>
      <c r="D55" s="11"/>
      <c r="E55" s="10"/>
      <c r="F55" s="10"/>
      <c r="G55" s="11"/>
      <c r="H55" s="70"/>
    </row>
    <row r="56" spans="1:15" ht="21">
      <c r="A56" s="69"/>
      <c r="B56" s="10" t="s">
        <v>537</v>
      </c>
      <c r="C56" s="11">
        <v>30000</v>
      </c>
      <c r="D56" s="11"/>
      <c r="E56" s="10"/>
      <c r="F56" s="10"/>
      <c r="G56" s="11"/>
      <c r="H56" s="70"/>
    </row>
    <row r="57" spans="1:15" ht="21">
      <c r="A57" s="69"/>
      <c r="B57" s="10" t="s">
        <v>61</v>
      </c>
      <c r="C57" s="11">
        <v>50000</v>
      </c>
      <c r="D57" s="11"/>
      <c r="E57" s="10"/>
      <c r="F57" s="10"/>
      <c r="G57" s="11"/>
      <c r="H57" s="70"/>
    </row>
    <row r="58" spans="1:15" ht="21">
      <c r="A58" s="69"/>
      <c r="B58" s="10" t="s">
        <v>379</v>
      </c>
      <c r="C58" s="11">
        <v>50000</v>
      </c>
      <c r="D58" s="11"/>
      <c r="E58" s="10"/>
      <c r="F58" s="10"/>
      <c r="G58" s="11"/>
      <c r="H58" s="70"/>
    </row>
    <row r="59" spans="1:15" ht="21">
      <c r="A59" s="69"/>
      <c r="B59" s="10" t="s">
        <v>538</v>
      </c>
      <c r="C59" s="11">
        <v>25000</v>
      </c>
      <c r="D59" s="11"/>
      <c r="E59" s="10"/>
      <c r="F59" s="10"/>
      <c r="G59" s="11"/>
      <c r="H59" s="70"/>
    </row>
    <row r="60" spans="1:15" ht="21">
      <c r="A60" s="69"/>
      <c r="B60" s="74" t="s">
        <v>29</v>
      </c>
      <c r="C60" s="75">
        <f>SUM(C52:C59)</f>
        <v>1395000</v>
      </c>
      <c r="D60" s="75">
        <f>C60</f>
        <v>1395000</v>
      </c>
      <c r="E60" s="10"/>
      <c r="F60" s="10"/>
      <c r="G60" s="11"/>
      <c r="H60" s="70"/>
    </row>
    <row r="61" spans="1:15" ht="21">
      <c r="A61" s="69" t="s">
        <v>501</v>
      </c>
      <c r="B61" s="10" t="s">
        <v>539</v>
      </c>
      <c r="C61" s="11"/>
      <c r="D61" s="11"/>
      <c r="E61" s="10"/>
      <c r="F61" s="10"/>
      <c r="G61" s="11"/>
      <c r="H61" s="70"/>
    </row>
    <row r="62" spans="1:15" ht="21">
      <c r="A62" s="69"/>
      <c r="B62" s="10" t="s">
        <v>540</v>
      </c>
      <c r="C62" s="11"/>
      <c r="D62" s="11"/>
      <c r="E62" s="10" t="s">
        <v>29</v>
      </c>
      <c r="F62" s="10"/>
      <c r="G62" s="11">
        <f>SUM(G48:G61)</f>
        <v>210000</v>
      </c>
      <c r="H62" s="70">
        <f>G62</f>
        <v>210000</v>
      </c>
    </row>
    <row r="63" spans="1:15" ht="21">
      <c r="A63" s="69"/>
      <c r="B63" s="10" t="s">
        <v>541</v>
      </c>
      <c r="C63" s="11">
        <v>500000</v>
      </c>
      <c r="D63" s="11"/>
      <c r="E63" s="228" t="s">
        <v>29</v>
      </c>
      <c r="F63" s="228"/>
      <c r="G63" s="74"/>
      <c r="H63" s="77">
        <f>SUM(H47:H62)</f>
        <v>2504000</v>
      </c>
    </row>
    <row r="64" spans="1:15" ht="22.8">
      <c r="A64" s="69"/>
      <c r="B64" s="10" t="s">
        <v>86</v>
      </c>
      <c r="C64" s="11">
        <v>50000</v>
      </c>
      <c r="D64" s="11"/>
      <c r="E64" s="78"/>
      <c r="F64" s="79"/>
      <c r="G64" s="78"/>
      <c r="H64" s="80"/>
    </row>
    <row r="65" spans="1:8" ht="22.8">
      <c r="A65" s="69"/>
      <c r="B65" s="10" t="s">
        <v>542</v>
      </c>
      <c r="C65" s="11">
        <v>50000</v>
      </c>
      <c r="D65" s="11"/>
      <c r="E65" s="78"/>
      <c r="F65" s="79"/>
      <c r="G65" s="78"/>
      <c r="H65" s="80"/>
    </row>
    <row r="66" spans="1:8" ht="22.8">
      <c r="A66" s="69"/>
      <c r="B66" s="10" t="s">
        <v>61</v>
      </c>
      <c r="C66" s="11">
        <v>50000</v>
      </c>
      <c r="D66" s="11"/>
      <c r="E66" s="78"/>
      <c r="F66" s="79"/>
      <c r="G66" s="78"/>
      <c r="H66" s="80"/>
    </row>
    <row r="67" spans="1:8" ht="22.8">
      <c r="A67" s="69"/>
      <c r="B67" s="10"/>
      <c r="C67" s="11"/>
      <c r="D67" s="11"/>
      <c r="E67" s="78"/>
      <c r="F67" s="79"/>
      <c r="G67" s="78"/>
      <c r="H67" s="80"/>
    </row>
    <row r="68" spans="1:8" ht="22.8">
      <c r="A68" s="69"/>
      <c r="B68" s="10"/>
      <c r="C68" s="11"/>
      <c r="D68" s="11"/>
      <c r="E68" s="78"/>
      <c r="F68" s="79"/>
      <c r="G68" s="78"/>
      <c r="H68" s="80"/>
    </row>
    <row r="69" spans="1:8" ht="22.8">
      <c r="A69" s="69"/>
      <c r="B69" s="74" t="s">
        <v>29</v>
      </c>
      <c r="C69" s="75">
        <f>SUM(C63:C68)</f>
        <v>650000</v>
      </c>
      <c r="D69" s="11">
        <f>C69</f>
        <v>650000</v>
      </c>
      <c r="E69" s="78"/>
      <c r="F69" s="79"/>
      <c r="G69" s="78"/>
      <c r="H69" s="80"/>
    </row>
    <row r="70" spans="1:8" ht="22.8">
      <c r="A70" s="69"/>
      <c r="B70" s="10"/>
      <c r="C70" s="11"/>
      <c r="D70" s="11"/>
      <c r="E70" s="78"/>
      <c r="F70" s="79"/>
      <c r="G70" s="78"/>
      <c r="H70" s="80"/>
    </row>
    <row r="71" spans="1:8" ht="22.8">
      <c r="A71" s="69"/>
      <c r="B71" s="29" t="s">
        <v>29</v>
      </c>
      <c r="C71" s="30"/>
      <c r="D71" s="30">
        <f>SUM(D49:D69)</f>
        <v>2294000</v>
      </c>
      <c r="E71" s="78"/>
      <c r="F71" s="79"/>
      <c r="G71" s="78"/>
      <c r="H71" s="80"/>
    </row>
    <row r="86" spans="1:7">
      <c r="A86" s="213" t="s">
        <v>89</v>
      </c>
      <c r="B86" s="213"/>
      <c r="C86" s="213"/>
    </row>
    <row r="87" spans="1:7">
      <c r="A87" s="213"/>
      <c r="B87" s="213"/>
      <c r="C87" s="213"/>
    </row>
    <row r="88" spans="1:7" ht="17.399999999999999">
      <c r="A88" s="110" t="s">
        <v>9</v>
      </c>
      <c r="B88" s="110" t="s">
        <v>90</v>
      </c>
      <c r="C88" s="111" t="s">
        <v>91</v>
      </c>
      <c r="E88" s="211" t="s">
        <v>543</v>
      </c>
      <c r="F88" s="211"/>
      <c r="G88" s="211"/>
    </row>
    <row r="89" spans="1:7" ht="17.399999999999999">
      <c r="A89" s="110" t="s">
        <v>473</v>
      </c>
      <c r="B89" s="112">
        <f>C121</f>
        <v>8610000</v>
      </c>
      <c r="C89" s="113" t="s">
        <v>92</v>
      </c>
      <c r="E89" s="212"/>
      <c r="F89" s="212"/>
      <c r="G89" s="212"/>
    </row>
    <row r="90" spans="1:7" ht="17.399999999999999">
      <c r="A90" s="110" t="s">
        <v>479</v>
      </c>
      <c r="B90" s="112">
        <f>C143</f>
        <v>4995000</v>
      </c>
      <c r="C90" s="113" t="s">
        <v>92</v>
      </c>
      <c r="E90" s="114" t="s">
        <v>94</v>
      </c>
      <c r="F90" s="115" t="s">
        <v>95</v>
      </c>
      <c r="G90" s="116" t="s">
        <v>96</v>
      </c>
    </row>
    <row r="91" spans="1:7" ht="17.399999999999999">
      <c r="A91" s="110" t="s">
        <v>484</v>
      </c>
      <c r="B91" s="112">
        <f>C164</f>
        <v>4630000</v>
      </c>
      <c r="C91" s="113" t="s">
        <v>92</v>
      </c>
      <c r="E91" s="117" t="s">
        <v>544</v>
      </c>
      <c r="F91" s="118" t="s">
        <v>545</v>
      </c>
      <c r="G91" s="119">
        <v>400000</v>
      </c>
    </row>
    <row r="92" spans="1:7" ht="17.399999999999999">
      <c r="A92" s="110" t="s">
        <v>488</v>
      </c>
      <c r="B92" s="112">
        <f>G101</f>
        <v>6620000</v>
      </c>
      <c r="C92" s="113" t="s">
        <v>92</v>
      </c>
      <c r="E92" s="120" t="s">
        <v>499</v>
      </c>
      <c r="F92" s="111" t="s">
        <v>546</v>
      </c>
      <c r="G92" s="121">
        <v>900000</v>
      </c>
    </row>
    <row r="93" spans="1:7" ht="17.399999999999999">
      <c r="A93" s="110" t="s">
        <v>489</v>
      </c>
      <c r="B93" s="112">
        <f>G121</f>
        <v>5620000</v>
      </c>
      <c r="C93" s="113" t="s">
        <v>92</v>
      </c>
      <c r="E93" s="122" t="s">
        <v>116</v>
      </c>
      <c r="F93" s="111" t="s">
        <v>547</v>
      </c>
      <c r="G93" s="121">
        <v>200000</v>
      </c>
    </row>
    <row r="94" spans="1:7" ht="17.399999999999999">
      <c r="A94" s="111" t="s">
        <v>501</v>
      </c>
      <c r="B94" s="112">
        <f>G143</f>
        <v>6060000</v>
      </c>
      <c r="C94" s="113" t="s">
        <v>92</v>
      </c>
      <c r="E94" s="122" t="s">
        <v>361</v>
      </c>
      <c r="F94" s="111" t="s">
        <v>548</v>
      </c>
      <c r="G94" s="121">
        <v>1320000</v>
      </c>
    </row>
    <row r="95" spans="1:7" ht="17.399999999999999">
      <c r="A95" s="110" t="s">
        <v>495</v>
      </c>
      <c r="B95" s="112">
        <f>SUM(G166)</f>
        <v>11795000</v>
      </c>
      <c r="C95" s="113" t="s">
        <v>92</v>
      </c>
      <c r="E95" s="122"/>
      <c r="F95" s="111" t="s">
        <v>549</v>
      </c>
      <c r="G95" s="121">
        <v>600000</v>
      </c>
    </row>
    <row r="96" spans="1:7" ht="17.399999999999999">
      <c r="A96" s="110" t="s">
        <v>523</v>
      </c>
      <c r="B96" s="112">
        <f>G189</f>
        <v>4285000</v>
      </c>
      <c r="C96" s="113" t="s">
        <v>92</v>
      </c>
      <c r="E96" s="120" t="s">
        <v>456</v>
      </c>
      <c r="F96" s="111" t="s">
        <v>550</v>
      </c>
      <c r="G96" s="121">
        <v>600000</v>
      </c>
    </row>
    <row r="97" spans="1:7" ht="17.399999999999999">
      <c r="A97" s="110"/>
      <c r="B97" s="112"/>
      <c r="C97" s="113"/>
      <c r="E97" s="122" t="s">
        <v>551</v>
      </c>
      <c r="F97" s="111" t="s">
        <v>552</v>
      </c>
      <c r="G97" s="121">
        <v>2400000</v>
      </c>
    </row>
    <row r="98" spans="1:7" ht="17.399999999999999">
      <c r="A98" s="110"/>
      <c r="B98" s="112"/>
      <c r="C98" s="113"/>
      <c r="E98" s="122" t="s">
        <v>74</v>
      </c>
      <c r="F98" s="111" t="s">
        <v>553</v>
      </c>
      <c r="G98" s="121">
        <v>200000</v>
      </c>
    </row>
    <row r="99" spans="1:7" ht="17.399999999999999">
      <c r="A99" s="110"/>
      <c r="B99" s="112"/>
      <c r="C99" s="113"/>
      <c r="E99" s="120"/>
      <c r="F99" s="111"/>
      <c r="G99" s="121"/>
    </row>
    <row r="100" spans="1:7" ht="17.399999999999999">
      <c r="A100" s="110"/>
      <c r="B100" s="112"/>
      <c r="C100" s="113"/>
      <c r="E100" s="122"/>
      <c r="F100" s="111"/>
      <c r="G100" s="121"/>
    </row>
    <row r="101" spans="1:7" ht="17.399999999999999">
      <c r="A101" s="110"/>
      <c r="B101" s="112"/>
      <c r="C101" s="113"/>
      <c r="E101" s="122" t="s">
        <v>29</v>
      </c>
      <c r="F101" s="111"/>
      <c r="G101" s="121">
        <f>SUM(G91:G100)</f>
        <v>6620000</v>
      </c>
    </row>
    <row r="102" spans="1:7" ht="17.399999999999999">
      <c r="A102" s="110"/>
      <c r="B102" s="112"/>
      <c r="C102" s="113"/>
      <c r="E102" s="123" t="s">
        <v>208</v>
      </c>
      <c r="F102" s="123" t="s">
        <v>554</v>
      </c>
      <c r="G102" s="123" t="s">
        <v>334</v>
      </c>
    </row>
    <row r="103" spans="1:7" ht="17.399999999999999">
      <c r="A103" s="110"/>
      <c r="B103" s="112"/>
      <c r="C103" s="113"/>
      <c r="E103" s="123"/>
      <c r="F103" s="123" t="s">
        <v>555</v>
      </c>
      <c r="G103" s="123" t="s">
        <v>334</v>
      </c>
    </row>
    <row r="104" spans="1:7" ht="17.399999999999999">
      <c r="A104" s="124" t="s">
        <v>50</v>
      </c>
      <c r="B104" s="125">
        <f>SUM(B89:B103)</f>
        <v>52615000</v>
      </c>
      <c r="C104" s="124"/>
      <c r="E104" s="123"/>
      <c r="F104" s="123" t="s">
        <v>556</v>
      </c>
      <c r="G104" s="123" t="s">
        <v>412</v>
      </c>
    </row>
    <row r="105" spans="1:7" ht="17.399999999999999">
      <c r="E105" s="123"/>
      <c r="F105" s="123" t="s">
        <v>440</v>
      </c>
      <c r="G105" s="123" t="s">
        <v>232</v>
      </c>
    </row>
    <row r="106" spans="1:7" ht="17.399999999999999">
      <c r="E106" s="123"/>
      <c r="F106" s="123" t="s">
        <v>435</v>
      </c>
      <c r="G106" s="123" t="s">
        <v>232</v>
      </c>
    </row>
    <row r="107" spans="1:7">
      <c r="A107" s="211" t="s">
        <v>557</v>
      </c>
      <c r="B107" s="211"/>
      <c r="C107" s="211"/>
    </row>
    <row r="108" spans="1:7">
      <c r="A108" s="212"/>
      <c r="B108" s="212"/>
      <c r="C108" s="212"/>
      <c r="E108" s="211" t="s">
        <v>558</v>
      </c>
      <c r="F108" s="211"/>
      <c r="G108" s="211"/>
    </row>
    <row r="109" spans="1:7" ht="17.399999999999999">
      <c r="A109" s="114" t="s">
        <v>94</v>
      </c>
      <c r="B109" s="115" t="s">
        <v>95</v>
      </c>
      <c r="C109" s="116" t="s">
        <v>96</v>
      </c>
      <c r="E109" s="212"/>
      <c r="F109" s="212"/>
      <c r="G109" s="212"/>
    </row>
    <row r="110" spans="1:7" ht="17.399999999999999">
      <c r="A110" s="117" t="s">
        <v>559</v>
      </c>
      <c r="B110" s="118" t="s">
        <v>560</v>
      </c>
      <c r="C110" s="119">
        <v>1080000</v>
      </c>
      <c r="E110" s="114" t="s">
        <v>94</v>
      </c>
      <c r="F110" s="115" t="s">
        <v>95</v>
      </c>
      <c r="G110" s="116" t="s">
        <v>96</v>
      </c>
    </row>
    <row r="111" spans="1:7" ht="17.399999999999999">
      <c r="A111" s="120" t="s">
        <v>561</v>
      </c>
      <c r="B111" s="111" t="s">
        <v>562</v>
      </c>
      <c r="C111" s="121">
        <v>3000000</v>
      </c>
      <c r="E111" s="117" t="s">
        <v>152</v>
      </c>
      <c r="F111" s="118" t="s">
        <v>563</v>
      </c>
      <c r="G111" s="119">
        <v>600000</v>
      </c>
    </row>
    <row r="112" spans="1:7" ht="17.399999999999999">
      <c r="A112" s="122"/>
      <c r="B112" s="111" t="s">
        <v>564</v>
      </c>
      <c r="C112" s="121">
        <f>9*470000</f>
        <v>4230000</v>
      </c>
      <c r="E112" s="120" t="s">
        <v>320</v>
      </c>
      <c r="F112" s="111" t="s">
        <v>565</v>
      </c>
      <c r="G112" s="121">
        <v>700000</v>
      </c>
    </row>
    <row r="113" spans="1:7" ht="17.399999999999999">
      <c r="A113" s="122" t="s">
        <v>566</v>
      </c>
      <c r="B113" s="111" t="s">
        <v>313</v>
      </c>
      <c r="C113" s="121">
        <v>300000</v>
      </c>
      <c r="E113" s="122" t="s">
        <v>567</v>
      </c>
      <c r="F113" s="111" t="s">
        <v>568</v>
      </c>
      <c r="G113" s="121">
        <v>200000</v>
      </c>
    </row>
    <row r="114" spans="1:7" ht="17.399999999999999">
      <c r="A114" s="122"/>
      <c r="B114" s="111"/>
      <c r="C114" s="121"/>
      <c r="E114" s="122" t="s">
        <v>569</v>
      </c>
      <c r="F114" s="111" t="s">
        <v>570</v>
      </c>
      <c r="G114" s="121">
        <v>400000</v>
      </c>
    </row>
    <row r="115" spans="1:7" ht="17.399999999999999">
      <c r="A115" s="120"/>
      <c r="B115" s="111"/>
      <c r="C115" s="121"/>
      <c r="E115" s="122" t="s">
        <v>571</v>
      </c>
      <c r="F115" s="111" t="s">
        <v>572</v>
      </c>
      <c r="G115" s="121">
        <v>480000</v>
      </c>
    </row>
    <row r="116" spans="1:7" ht="17.399999999999999">
      <c r="A116" s="122"/>
      <c r="B116" s="111"/>
      <c r="C116" s="121"/>
      <c r="E116" s="120" t="s">
        <v>573</v>
      </c>
      <c r="F116" s="111" t="s">
        <v>574</v>
      </c>
      <c r="G116" s="121">
        <v>3000000</v>
      </c>
    </row>
    <row r="117" spans="1:7" ht="17.399999999999999">
      <c r="A117" s="122"/>
      <c r="B117" s="111"/>
      <c r="C117" s="121"/>
      <c r="E117" s="122" t="s">
        <v>575</v>
      </c>
      <c r="F117" s="111" t="s">
        <v>576</v>
      </c>
      <c r="G117" s="121">
        <v>240000</v>
      </c>
    </row>
    <row r="118" spans="1:7" ht="17.399999999999999">
      <c r="A118" s="120"/>
      <c r="B118" s="111"/>
      <c r="C118" s="121"/>
      <c r="E118" s="122"/>
      <c r="F118" s="111"/>
      <c r="G118" s="121"/>
    </row>
    <row r="119" spans="1:7" ht="17.399999999999999">
      <c r="A119" s="122"/>
      <c r="B119" s="111"/>
      <c r="C119" s="121"/>
      <c r="E119" s="120"/>
      <c r="F119" s="111"/>
      <c r="G119" s="121"/>
    </row>
    <row r="120" spans="1:7" ht="17.399999999999999">
      <c r="A120" s="122"/>
      <c r="B120" s="111"/>
      <c r="C120" s="121"/>
      <c r="E120" s="122"/>
      <c r="F120" s="111"/>
      <c r="G120" s="121"/>
    </row>
    <row r="121" spans="1:7" ht="17.399999999999999">
      <c r="A121" s="126" t="s">
        <v>29</v>
      </c>
      <c r="B121" s="127"/>
      <c r="C121" s="128">
        <f>SUM(C110:C120)</f>
        <v>8610000</v>
      </c>
      <c r="E121" s="122" t="s">
        <v>29</v>
      </c>
      <c r="F121" s="111"/>
      <c r="G121" s="121">
        <f>SUM(G111:G120)</f>
        <v>5620000</v>
      </c>
    </row>
    <row r="122" spans="1:7" ht="17.399999999999999">
      <c r="E122" s="123" t="s">
        <v>123</v>
      </c>
      <c r="F122" s="123" t="s">
        <v>228</v>
      </c>
      <c r="G122" s="123"/>
    </row>
    <row r="123" spans="1:7" ht="17.399999999999999">
      <c r="A123" s="129" t="s">
        <v>577</v>
      </c>
      <c r="B123" s="129" t="s">
        <v>578</v>
      </c>
      <c r="E123" s="123" t="s">
        <v>579</v>
      </c>
      <c r="F123" s="123" t="s">
        <v>334</v>
      </c>
      <c r="G123" s="123"/>
    </row>
    <row r="124" spans="1:7" ht="17.399999999999999">
      <c r="A124" s="129" t="s">
        <v>435</v>
      </c>
      <c r="B124" s="129" t="s">
        <v>232</v>
      </c>
      <c r="E124" s="123" t="s">
        <v>183</v>
      </c>
      <c r="F124" s="123" t="s">
        <v>580</v>
      </c>
      <c r="G124" s="123"/>
    </row>
    <row r="125" spans="1:7" ht="17.399999999999999">
      <c r="E125" s="123" t="s">
        <v>225</v>
      </c>
      <c r="F125" s="123" t="s">
        <v>581</v>
      </c>
      <c r="G125" s="123"/>
    </row>
    <row r="126" spans="1:7" ht="17.399999999999999">
      <c r="E126" s="123"/>
      <c r="F126" s="123"/>
      <c r="G126" s="123"/>
    </row>
    <row r="127" spans="1:7" ht="17.399999999999999">
      <c r="E127" s="123"/>
      <c r="F127" s="123"/>
      <c r="G127" s="123"/>
    </row>
    <row r="128" spans="1:7" ht="17.399999999999999">
      <c r="E128" s="123"/>
      <c r="F128" s="123"/>
      <c r="G128" s="123"/>
    </row>
    <row r="129" spans="1:7">
      <c r="A129" s="211" t="s">
        <v>582</v>
      </c>
      <c r="B129" s="211"/>
      <c r="C129" s="211"/>
      <c r="E129" s="211" t="s">
        <v>557</v>
      </c>
      <c r="F129" s="211"/>
      <c r="G129" s="211"/>
    </row>
    <row r="130" spans="1:7">
      <c r="A130" s="212"/>
      <c r="B130" s="212"/>
      <c r="C130" s="212"/>
      <c r="E130" s="212"/>
      <c r="F130" s="212"/>
      <c r="G130" s="212"/>
    </row>
    <row r="131" spans="1:7" ht="17.399999999999999">
      <c r="A131" s="114" t="s">
        <v>94</v>
      </c>
      <c r="B131" s="115" t="s">
        <v>95</v>
      </c>
      <c r="C131" s="116" t="s">
        <v>96</v>
      </c>
      <c r="E131" s="114" t="s">
        <v>94</v>
      </c>
      <c r="F131" s="115" t="s">
        <v>95</v>
      </c>
      <c r="G131" s="116" t="s">
        <v>96</v>
      </c>
    </row>
    <row r="132" spans="1:7" ht="17.399999999999999">
      <c r="A132" s="117" t="s">
        <v>583</v>
      </c>
      <c r="B132" s="118" t="s">
        <v>584</v>
      </c>
      <c r="C132" s="119">
        <v>400000</v>
      </c>
      <c r="E132" s="117" t="s">
        <v>583</v>
      </c>
      <c r="F132" s="118" t="s">
        <v>545</v>
      </c>
      <c r="G132" s="119">
        <v>400000</v>
      </c>
    </row>
    <row r="133" spans="1:7" ht="17.399999999999999">
      <c r="A133" s="120" t="s">
        <v>585</v>
      </c>
      <c r="B133" s="111" t="s">
        <v>586</v>
      </c>
      <c r="C133" s="121">
        <v>295000</v>
      </c>
      <c r="E133" s="120" t="s">
        <v>587</v>
      </c>
      <c r="F133" s="111" t="s">
        <v>588</v>
      </c>
      <c r="G133" s="121">
        <v>1800000</v>
      </c>
    </row>
    <row r="134" spans="1:7" ht="17.399999999999999">
      <c r="A134" s="122" t="s">
        <v>589</v>
      </c>
      <c r="B134" s="111" t="s">
        <v>590</v>
      </c>
      <c r="C134" s="121">
        <v>1600000</v>
      </c>
      <c r="E134" s="122" t="s">
        <v>566</v>
      </c>
      <c r="F134" s="111" t="s">
        <v>591</v>
      </c>
      <c r="G134" s="121">
        <v>100000</v>
      </c>
    </row>
    <row r="135" spans="1:7" ht="17.399999999999999">
      <c r="A135" s="122" t="s">
        <v>592</v>
      </c>
      <c r="B135" s="111" t="s">
        <v>593</v>
      </c>
      <c r="C135" s="121">
        <v>80000</v>
      </c>
      <c r="E135" s="122" t="s">
        <v>594</v>
      </c>
      <c r="F135" s="111" t="s">
        <v>595</v>
      </c>
      <c r="G135" s="121">
        <v>120000</v>
      </c>
    </row>
    <row r="136" spans="1:7" ht="17.399999999999999">
      <c r="A136" s="122" t="s">
        <v>596</v>
      </c>
      <c r="B136" s="111" t="s">
        <v>597</v>
      </c>
      <c r="C136" s="121">
        <v>1800000</v>
      </c>
      <c r="E136" s="122" t="s">
        <v>598</v>
      </c>
      <c r="F136" s="111" t="s">
        <v>599</v>
      </c>
      <c r="G136" s="121">
        <v>400000</v>
      </c>
    </row>
    <row r="137" spans="1:7" ht="17.399999999999999">
      <c r="A137" s="120" t="s">
        <v>600</v>
      </c>
      <c r="B137" s="111" t="s">
        <v>601</v>
      </c>
      <c r="C137" s="121">
        <v>820000</v>
      </c>
      <c r="E137" s="120" t="s">
        <v>602</v>
      </c>
      <c r="F137" s="111" t="s">
        <v>603</v>
      </c>
      <c r="G137" s="121">
        <v>240000</v>
      </c>
    </row>
    <row r="138" spans="1:7" ht="17.399999999999999">
      <c r="A138" s="122"/>
      <c r="B138" s="111"/>
      <c r="C138" s="121"/>
      <c r="E138" s="122" t="s">
        <v>604</v>
      </c>
      <c r="F138" s="111" t="s">
        <v>605</v>
      </c>
      <c r="G138" s="121">
        <v>3000000</v>
      </c>
    </row>
    <row r="139" spans="1:7" ht="17.399999999999999">
      <c r="A139" s="122"/>
      <c r="B139" s="111"/>
      <c r="C139" s="121"/>
      <c r="E139" s="122"/>
      <c r="F139" s="111"/>
      <c r="G139" s="121"/>
    </row>
    <row r="140" spans="1:7" ht="17.399999999999999">
      <c r="A140" s="120"/>
      <c r="B140" s="111"/>
      <c r="C140" s="121"/>
      <c r="E140" s="120"/>
      <c r="F140" s="111"/>
      <c r="G140" s="121"/>
    </row>
    <row r="141" spans="1:7" ht="17.399999999999999">
      <c r="A141" s="122"/>
      <c r="B141" s="111"/>
      <c r="C141" s="121"/>
      <c r="E141" s="122"/>
      <c r="F141" s="111"/>
      <c r="G141" s="121"/>
    </row>
    <row r="142" spans="1:7" ht="17.399999999999999">
      <c r="A142" s="122"/>
      <c r="B142" s="111"/>
      <c r="C142" s="121"/>
      <c r="E142" s="122"/>
      <c r="F142" s="111"/>
      <c r="G142" s="121"/>
    </row>
    <row r="143" spans="1:7" ht="17.399999999999999">
      <c r="A143" s="126" t="s">
        <v>29</v>
      </c>
      <c r="B143" s="127"/>
      <c r="C143" s="128">
        <f>SUM(C132:C142)</f>
        <v>4995000</v>
      </c>
      <c r="E143" s="130" t="s">
        <v>29</v>
      </c>
      <c r="F143" s="131"/>
      <c r="G143" s="132">
        <f>SUM(G132:G142)</f>
        <v>6060000</v>
      </c>
    </row>
    <row r="144" spans="1:7" ht="17.399999999999999">
      <c r="E144" s="123" t="s">
        <v>606</v>
      </c>
      <c r="F144" s="123" t="s">
        <v>228</v>
      </c>
      <c r="G144" s="123"/>
    </row>
    <row r="145" spans="1:7" ht="17.399999999999999">
      <c r="A145" s="129" t="s">
        <v>607</v>
      </c>
      <c r="B145" s="129" t="s">
        <v>228</v>
      </c>
      <c r="E145" s="123" t="s">
        <v>608</v>
      </c>
      <c r="F145" s="123" t="s">
        <v>228</v>
      </c>
      <c r="G145" s="123"/>
    </row>
    <row r="146" spans="1:7" ht="17.399999999999999">
      <c r="A146" s="129" t="s">
        <v>609</v>
      </c>
      <c r="B146" s="129" t="s">
        <v>334</v>
      </c>
      <c r="E146" s="123" t="s">
        <v>610</v>
      </c>
      <c r="F146" s="123" t="s">
        <v>611</v>
      </c>
      <c r="G146" s="123"/>
    </row>
    <row r="147" spans="1:7" ht="17.399999999999999">
      <c r="A147" s="129"/>
      <c r="B147" s="129"/>
      <c r="E147" s="123" t="s">
        <v>612</v>
      </c>
      <c r="F147" s="123" t="s">
        <v>228</v>
      </c>
      <c r="G147" s="123"/>
    </row>
    <row r="148" spans="1:7" ht="17.399999999999999">
      <c r="A148" s="129"/>
      <c r="B148" s="129"/>
      <c r="E148" s="123" t="s">
        <v>613</v>
      </c>
      <c r="F148" s="123" t="s">
        <v>228</v>
      </c>
      <c r="G148" s="123"/>
    </row>
    <row r="149" spans="1:7" ht="17.399999999999999">
      <c r="E149" s="123" t="s">
        <v>614</v>
      </c>
      <c r="F149" s="123" t="s">
        <v>232</v>
      </c>
      <c r="G149" s="123"/>
    </row>
    <row r="150" spans="1:7">
      <c r="A150" s="211" t="s">
        <v>615</v>
      </c>
      <c r="B150" s="211"/>
      <c r="C150" s="211"/>
      <c r="E150" s="219" t="s">
        <v>616</v>
      </c>
      <c r="F150" s="220"/>
      <c r="G150" s="221"/>
    </row>
    <row r="151" spans="1:7">
      <c r="A151" s="212"/>
      <c r="B151" s="212"/>
      <c r="C151" s="212"/>
      <c r="E151" s="231"/>
      <c r="F151" s="213"/>
      <c r="G151" s="232"/>
    </row>
    <row r="152" spans="1:7" ht="17.399999999999999">
      <c r="A152" s="114" t="s">
        <v>94</v>
      </c>
      <c r="B152" s="115" t="s">
        <v>95</v>
      </c>
      <c r="C152" s="116" t="s">
        <v>96</v>
      </c>
      <c r="E152" s="133" t="s">
        <v>94</v>
      </c>
      <c r="F152" s="113" t="s">
        <v>95</v>
      </c>
      <c r="G152" s="134" t="s">
        <v>96</v>
      </c>
    </row>
    <row r="153" spans="1:7" ht="17.399999999999999">
      <c r="A153" s="117" t="s">
        <v>617</v>
      </c>
      <c r="B153" s="118" t="s">
        <v>96</v>
      </c>
      <c r="C153" s="119">
        <v>250000</v>
      </c>
      <c r="E153" s="120" t="s">
        <v>195</v>
      </c>
      <c r="F153" s="111" t="s">
        <v>618</v>
      </c>
      <c r="G153" s="121">
        <v>150000</v>
      </c>
    </row>
    <row r="154" spans="1:7" ht="17.399999999999999">
      <c r="A154" s="120" t="s">
        <v>619</v>
      </c>
      <c r="B154" s="111" t="s">
        <v>620</v>
      </c>
      <c r="C154" s="121">
        <v>480000</v>
      </c>
      <c r="E154" s="120" t="s">
        <v>365</v>
      </c>
      <c r="F154" s="111" t="s">
        <v>621</v>
      </c>
      <c r="G154" s="121">
        <v>25000</v>
      </c>
    </row>
    <row r="155" spans="1:7" ht="17.399999999999999">
      <c r="A155" s="122" t="s">
        <v>500</v>
      </c>
      <c r="B155" s="111" t="s">
        <v>622</v>
      </c>
      <c r="C155" s="121">
        <v>200000</v>
      </c>
      <c r="E155" s="122" t="s">
        <v>623</v>
      </c>
      <c r="F155" s="111" t="s">
        <v>624</v>
      </c>
      <c r="G155" s="121">
        <v>900000</v>
      </c>
    </row>
    <row r="156" spans="1:7" ht="17.399999999999999">
      <c r="A156" s="122" t="s">
        <v>500</v>
      </c>
      <c r="B156" s="111" t="s">
        <v>625</v>
      </c>
      <c r="C156" s="121">
        <v>700000</v>
      </c>
      <c r="E156" s="122" t="s">
        <v>362</v>
      </c>
      <c r="F156" s="111" t="s">
        <v>626</v>
      </c>
      <c r="G156" s="121">
        <v>5000000</v>
      </c>
    </row>
    <row r="157" spans="1:7" ht="17.399999999999999">
      <c r="A157" s="122" t="s">
        <v>627</v>
      </c>
      <c r="B157" s="111" t="s">
        <v>628</v>
      </c>
      <c r="C157" s="121">
        <v>2400000</v>
      </c>
      <c r="E157" s="122" t="s">
        <v>629</v>
      </c>
      <c r="F157" s="111" t="s">
        <v>630</v>
      </c>
      <c r="G157" s="121">
        <v>1800000</v>
      </c>
    </row>
    <row r="158" spans="1:7" ht="17.399999999999999">
      <c r="A158" s="120" t="s">
        <v>631</v>
      </c>
      <c r="B158" s="111" t="s">
        <v>632</v>
      </c>
      <c r="C158" s="121">
        <v>600000</v>
      </c>
      <c r="E158" s="120" t="s">
        <v>633</v>
      </c>
      <c r="F158" s="111" t="s">
        <v>634</v>
      </c>
      <c r="G158" s="121">
        <v>800000</v>
      </c>
    </row>
    <row r="159" spans="1:7" ht="17.399999999999999">
      <c r="A159" s="122"/>
      <c r="B159" s="111"/>
      <c r="C159" s="121"/>
      <c r="E159" s="122" t="s">
        <v>635</v>
      </c>
      <c r="F159" s="111" t="s">
        <v>636</v>
      </c>
      <c r="G159" s="121">
        <v>120000</v>
      </c>
    </row>
    <row r="160" spans="1:7" ht="17.399999999999999">
      <c r="A160" s="122"/>
      <c r="B160" s="111"/>
      <c r="C160" s="121"/>
      <c r="E160" s="122" t="s">
        <v>637</v>
      </c>
      <c r="F160" s="111" t="s">
        <v>398</v>
      </c>
      <c r="G160" s="121">
        <v>600000</v>
      </c>
    </row>
    <row r="161" spans="1:7" ht="17.399999999999999">
      <c r="A161" s="120"/>
      <c r="B161" s="111"/>
      <c r="C161" s="121"/>
      <c r="E161" s="120" t="s">
        <v>638</v>
      </c>
      <c r="F161" s="111" t="s">
        <v>639</v>
      </c>
      <c r="G161" s="121">
        <v>2400000</v>
      </c>
    </row>
    <row r="162" spans="1:7" ht="17.399999999999999">
      <c r="A162" s="122"/>
      <c r="B162" s="111"/>
      <c r="C162" s="121"/>
      <c r="E162" s="122"/>
      <c r="F162" s="111"/>
      <c r="G162" s="121"/>
    </row>
    <row r="163" spans="1:7" ht="17.399999999999999">
      <c r="A163" s="122"/>
      <c r="B163" s="111"/>
      <c r="C163" s="121"/>
      <c r="E163" s="122"/>
      <c r="F163" s="111"/>
      <c r="G163" s="121"/>
    </row>
    <row r="164" spans="1:7" ht="17.399999999999999">
      <c r="A164" s="126" t="s">
        <v>29</v>
      </c>
      <c r="B164" s="127"/>
      <c r="C164" s="128">
        <f>SUM(C153:C163)</f>
        <v>4630000</v>
      </c>
      <c r="E164" s="135"/>
      <c r="F164" s="110"/>
      <c r="G164" s="136"/>
    </row>
    <row r="165" spans="1:7" ht="17.399999999999999">
      <c r="E165" s="135"/>
      <c r="F165" s="110"/>
      <c r="G165" s="136"/>
    </row>
    <row r="166" spans="1:7" ht="17.399999999999999">
      <c r="A166" s="123" t="s">
        <v>129</v>
      </c>
      <c r="B166" s="123" t="s">
        <v>640</v>
      </c>
      <c r="C166" s="123" t="s">
        <v>334</v>
      </c>
      <c r="E166" s="137" t="s">
        <v>29</v>
      </c>
      <c r="F166" s="138"/>
      <c r="G166" s="139">
        <f>SUM(G153:G165)</f>
        <v>11795000</v>
      </c>
    </row>
    <row r="167" spans="1:7" ht="17.399999999999999">
      <c r="A167" s="123"/>
      <c r="B167" s="123" t="s">
        <v>577</v>
      </c>
      <c r="C167" s="123" t="s">
        <v>230</v>
      </c>
      <c r="E167" s="123" t="s">
        <v>208</v>
      </c>
      <c r="F167" s="123" t="s">
        <v>640</v>
      </c>
      <c r="G167" s="123" t="s">
        <v>228</v>
      </c>
    </row>
    <row r="168" spans="1:7" ht="17.399999999999999">
      <c r="A168" s="123"/>
      <c r="B168" s="123" t="s">
        <v>641</v>
      </c>
      <c r="C168" s="123" t="s">
        <v>232</v>
      </c>
      <c r="E168" s="123"/>
      <c r="F168" s="123" t="s">
        <v>415</v>
      </c>
      <c r="G168" s="123" t="s">
        <v>230</v>
      </c>
    </row>
    <row r="169" spans="1:7" ht="17.399999999999999">
      <c r="A169" s="123"/>
      <c r="B169" s="123"/>
      <c r="C169" s="123"/>
      <c r="E169" s="123"/>
      <c r="F169" s="123" t="s">
        <v>398</v>
      </c>
      <c r="G169" s="123" t="s">
        <v>642</v>
      </c>
    </row>
    <row r="170" spans="1:7" ht="17.399999999999999">
      <c r="A170" s="123"/>
      <c r="B170" s="123"/>
      <c r="C170" s="123"/>
      <c r="E170" s="123"/>
      <c r="F170" s="123" t="s">
        <v>643</v>
      </c>
      <c r="G170" s="123" t="s">
        <v>334</v>
      </c>
    </row>
    <row r="171" spans="1:7" ht="17.399999999999999">
      <c r="A171" s="123"/>
      <c r="B171" s="123"/>
      <c r="C171" s="123"/>
      <c r="E171" s="123"/>
      <c r="F171" s="123" t="s">
        <v>644</v>
      </c>
      <c r="G171" s="123" t="s">
        <v>645</v>
      </c>
    </row>
    <row r="173" spans="1:7">
      <c r="E173" s="219" t="s">
        <v>646</v>
      </c>
      <c r="F173" s="220"/>
      <c r="G173" s="221"/>
    </row>
    <row r="174" spans="1:7">
      <c r="E174" s="231"/>
      <c r="F174" s="213"/>
      <c r="G174" s="232"/>
    </row>
    <row r="175" spans="1:7" ht="17.399999999999999">
      <c r="E175" s="133" t="s">
        <v>94</v>
      </c>
      <c r="F175" s="113" t="s">
        <v>95</v>
      </c>
      <c r="G175" s="134" t="s">
        <v>96</v>
      </c>
    </row>
    <row r="176" spans="1:7" ht="17.399999999999999">
      <c r="E176" s="120" t="s">
        <v>647</v>
      </c>
      <c r="F176" s="111" t="s">
        <v>648</v>
      </c>
      <c r="G176" s="121">
        <v>1800000</v>
      </c>
    </row>
    <row r="177" spans="5:7" ht="17.399999999999999">
      <c r="E177" s="120"/>
      <c r="F177" s="111"/>
      <c r="G177" s="121"/>
    </row>
    <row r="178" spans="5:7" ht="17.399999999999999">
      <c r="E178" s="122" t="s">
        <v>649</v>
      </c>
      <c r="F178" s="111" t="s">
        <v>335</v>
      </c>
      <c r="G178" s="121"/>
    </row>
    <row r="179" spans="5:7" ht="17.399999999999999">
      <c r="E179" s="122" t="s">
        <v>650</v>
      </c>
      <c r="F179" s="111" t="s">
        <v>651</v>
      </c>
      <c r="G179" s="121">
        <v>85000</v>
      </c>
    </row>
    <row r="180" spans="5:7" ht="17.399999999999999">
      <c r="E180" s="122" t="s">
        <v>652</v>
      </c>
      <c r="F180" s="111" t="s">
        <v>653</v>
      </c>
      <c r="G180" s="121">
        <v>2400000</v>
      </c>
    </row>
    <row r="181" spans="5:7" ht="17.399999999999999">
      <c r="E181" s="120"/>
      <c r="F181" s="111"/>
      <c r="G181" s="121"/>
    </row>
    <row r="182" spans="5:7" ht="17.399999999999999">
      <c r="E182" s="122"/>
      <c r="F182" s="111"/>
      <c r="G182" s="121"/>
    </row>
    <row r="183" spans="5:7" ht="17.399999999999999">
      <c r="E183" s="122"/>
      <c r="F183" s="111"/>
      <c r="G183" s="121"/>
    </row>
    <row r="184" spans="5:7" ht="17.399999999999999">
      <c r="E184" s="120"/>
      <c r="F184" s="111"/>
      <c r="G184" s="121"/>
    </row>
    <row r="185" spans="5:7" ht="17.399999999999999">
      <c r="E185" s="122"/>
      <c r="F185" s="111"/>
      <c r="G185" s="121"/>
    </row>
    <row r="186" spans="5:7" ht="17.399999999999999">
      <c r="E186" s="122"/>
      <c r="F186" s="111"/>
      <c r="G186" s="121"/>
    </row>
    <row r="187" spans="5:7" ht="17.399999999999999">
      <c r="E187" s="135"/>
      <c r="F187" s="110"/>
      <c r="G187" s="136"/>
    </row>
    <row r="188" spans="5:7" ht="17.399999999999999">
      <c r="E188" s="135"/>
      <c r="F188" s="110"/>
      <c r="G188" s="136"/>
    </row>
    <row r="189" spans="5:7" ht="17.399999999999999">
      <c r="E189" s="137" t="s">
        <v>29</v>
      </c>
      <c r="F189" s="138"/>
      <c r="G189" s="139">
        <f>SUM(G176:G188)</f>
        <v>4285000</v>
      </c>
    </row>
    <row r="191" spans="5:7" ht="17.399999999999999">
      <c r="E191" s="129" t="s">
        <v>432</v>
      </c>
      <c r="F191" s="129" t="s">
        <v>228</v>
      </c>
    </row>
    <row r="192" spans="5:7" ht="17.399999999999999">
      <c r="E192" s="129" t="s">
        <v>641</v>
      </c>
      <c r="F192" s="129" t="s">
        <v>230</v>
      </c>
    </row>
    <row r="193" spans="5:6" ht="17.399999999999999">
      <c r="E193" s="129" t="s">
        <v>335</v>
      </c>
      <c r="F193" s="129" t="s">
        <v>334</v>
      </c>
    </row>
    <row r="194" spans="5:6" ht="17.399999999999999">
      <c r="E194" s="129"/>
      <c r="F194" s="129"/>
    </row>
    <row r="195" spans="5:6" ht="17.399999999999999">
      <c r="E195" s="129"/>
      <c r="F195" s="129"/>
    </row>
  </sheetData>
  <mergeCells count="22">
    <mergeCell ref="E173:G174"/>
    <mergeCell ref="E63:F63"/>
    <mergeCell ref="Q1:Q2"/>
    <mergeCell ref="V1:V2"/>
    <mergeCell ref="E150:G151"/>
    <mergeCell ref="A107:C108"/>
    <mergeCell ref="A150:C151"/>
    <mergeCell ref="E88:G89"/>
    <mergeCell ref="E129:G130"/>
    <mergeCell ref="A86:C87"/>
    <mergeCell ref="E108:G109"/>
    <mergeCell ref="A129:C130"/>
    <mergeCell ref="G27:I27"/>
    <mergeCell ref="K37:O37"/>
    <mergeCell ref="D40:E40"/>
    <mergeCell ref="A45:D45"/>
    <mergeCell ref="E45:H45"/>
    <mergeCell ref="R1:T1"/>
    <mergeCell ref="W1:Y1"/>
    <mergeCell ref="K2:N2"/>
    <mergeCell ref="K17:O17"/>
    <mergeCell ref="F25:G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5:G17"/>
  <sheetViews>
    <sheetView zoomScale="85" zoomScaleNormal="85" workbookViewId="0">
      <selection activeCell="F37" sqref="F37"/>
    </sheetView>
  </sheetViews>
  <sheetFormatPr defaultColWidth="10" defaultRowHeight="13.8"/>
  <cols>
    <col min="4" max="4" width="14.69921875" customWidth="1"/>
    <col min="6" max="6" width="16.5" customWidth="1"/>
  </cols>
  <sheetData>
    <row r="5" spans="3:7" ht="20.399999999999999">
      <c r="C5" s="218" t="s">
        <v>449</v>
      </c>
      <c r="D5" s="218"/>
      <c r="E5" s="218"/>
      <c r="F5" s="218"/>
      <c r="G5" s="218"/>
    </row>
    <row r="6" spans="3:7" ht="17.399999999999999">
      <c r="C6" s="2" t="s">
        <v>443</v>
      </c>
      <c r="D6" s="3" t="s">
        <v>9</v>
      </c>
      <c r="E6" s="2" t="s">
        <v>94</v>
      </c>
      <c r="F6" s="3" t="s">
        <v>239</v>
      </c>
      <c r="G6" s="3" t="s">
        <v>444</v>
      </c>
    </row>
    <row r="7" spans="3:7" ht="17.399999999999999">
      <c r="C7" s="2">
        <v>1</v>
      </c>
      <c r="D7" s="3" t="s">
        <v>489</v>
      </c>
      <c r="E7" s="3" t="s">
        <v>459</v>
      </c>
      <c r="F7" s="3" t="s">
        <v>441</v>
      </c>
      <c r="G7" s="4">
        <v>9.1999999999999993</v>
      </c>
    </row>
    <row r="8" spans="3:7" ht="17.399999999999999">
      <c r="C8" s="2">
        <v>2</v>
      </c>
      <c r="D8" s="3"/>
      <c r="E8" s="3" t="s">
        <v>456</v>
      </c>
      <c r="F8" s="3" t="s">
        <v>525</v>
      </c>
      <c r="G8" s="3">
        <v>9.1300000000000008</v>
      </c>
    </row>
    <row r="9" spans="3:7" ht="17.399999999999999">
      <c r="C9" s="2">
        <v>3</v>
      </c>
      <c r="D9" s="3" t="s">
        <v>501</v>
      </c>
      <c r="E9" s="3" t="s">
        <v>526</v>
      </c>
      <c r="F9" s="3" t="s">
        <v>441</v>
      </c>
      <c r="G9" s="3">
        <v>9.49</v>
      </c>
    </row>
    <row r="10" spans="3:7" ht="17.399999999999999">
      <c r="C10" s="2">
        <v>4</v>
      </c>
      <c r="D10" s="3"/>
      <c r="E10" s="3" t="s">
        <v>499</v>
      </c>
      <c r="F10" s="3" t="s">
        <v>452</v>
      </c>
      <c r="G10" s="3">
        <v>9.23</v>
      </c>
    </row>
    <row r="11" spans="3:7" ht="17.399999999999999">
      <c r="C11" s="2">
        <v>5</v>
      </c>
      <c r="D11" s="3" t="s">
        <v>495</v>
      </c>
      <c r="E11" s="3" t="s">
        <v>456</v>
      </c>
      <c r="F11" s="3" t="s">
        <v>527</v>
      </c>
      <c r="G11" s="3">
        <v>9.1300000000000008</v>
      </c>
    </row>
    <row r="12" spans="3:7" ht="17.399999999999999">
      <c r="C12" s="2">
        <v>6</v>
      </c>
      <c r="D12" s="3"/>
      <c r="E12" s="3" t="s">
        <v>500</v>
      </c>
      <c r="F12" s="3" t="s">
        <v>445</v>
      </c>
      <c r="G12" s="3">
        <v>9.91</v>
      </c>
    </row>
    <row r="13" spans="3:7" ht="17.399999999999999">
      <c r="C13" s="2">
        <v>7</v>
      </c>
      <c r="D13" s="3"/>
      <c r="E13" s="3" t="s">
        <v>499</v>
      </c>
      <c r="F13" s="3" t="s">
        <v>452</v>
      </c>
      <c r="G13" s="3">
        <v>9.23</v>
      </c>
    </row>
    <row r="14" spans="3:7" ht="17.399999999999999">
      <c r="C14" s="2">
        <v>8</v>
      </c>
      <c r="D14" s="3"/>
      <c r="E14" s="3" t="s">
        <v>451</v>
      </c>
      <c r="F14" s="3" t="s">
        <v>441</v>
      </c>
      <c r="G14" s="3">
        <v>9.84</v>
      </c>
    </row>
    <row r="15" spans="3:7" ht="17.399999999999999">
      <c r="C15" s="2">
        <v>9</v>
      </c>
      <c r="D15" s="3" t="s">
        <v>279</v>
      </c>
      <c r="E15" s="3" t="s">
        <v>114</v>
      </c>
      <c r="F15" s="3" t="s">
        <v>446</v>
      </c>
      <c r="G15" s="3">
        <v>8.94</v>
      </c>
    </row>
    <row r="16" spans="3:7" ht="17.399999999999999">
      <c r="C16" s="2">
        <v>10</v>
      </c>
      <c r="D16" s="3"/>
      <c r="E16" s="3" t="s">
        <v>499</v>
      </c>
      <c r="F16" s="3" t="s">
        <v>654</v>
      </c>
      <c r="G16" s="3">
        <v>9.02</v>
      </c>
    </row>
    <row r="17" spans="3:7" ht="17.399999999999999">
      <c r="C17" s="3"/>
      <c r="D17" s="5" t="s">
        <v>29</v>
      </c>
      <c r="E17" s="6"/>
      <c r="F17" s="6"/>
      <c r="G17" s="6">
        <f>SUM(G7:G16)</f>
        <v>93.12</v>
      </c>
    </row>
  </sheetData>
  <mergeCells count="1">
    <mergeCell ref="C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Lembar1</vt:lpstr>
      <vt:lpstr>Lembar2</vt:lpstr>
      <vt:lpstr>Lembar3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RMX1971</dc:creator>
  <cp:lastModifiedBy>khanin oktavia</cp:lastModifiedBy>
  <dcterms:created xsi:type="dcterms:W3CDTF">2025-02-15T21:14:00Z</dcterms:created>
  <dcterms:modified xsi:type="dcterms:W3CDTF">2026-02-15T11:20:21Z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4ba977d343db43bb885128ab01c74e83</vt:lpwstr>
  </property>
  <property fmtid="{D5CDD505-2E9C-101B-9397-08002B2CF9AE}" pid="3" name="KSOProductBuildVer">
    <vt:lpwstr>1033-12.2.0.23196</vt:lpwstr>
  </property>
</Properties>
</file>